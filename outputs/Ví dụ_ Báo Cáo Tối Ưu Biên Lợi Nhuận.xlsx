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+ Time" sheetId="1" r:id="rId5"/>
    <sheet state="visible" name="Product" sheetId="2" r:id="rId6"/>
    <sheet state="visible" name="Traffic" sheetId="3" r:id="rId7"/>
    <sheet state="visible" name="Funnel" sheetId="4" r:id="rId8"/>
    <sheet state="visible" name="Cross-sell" sheetId="5" r:id="rId9"/>
  </sheets>
  <definedNames/>
  <calcPr/>
</workbook>
</file>

<file path=xl/sharedStrings.xml><?xml version="1.0" encoding="utf-8"?>
<sst xmlns="http://schemas.openxmlformats.org/spreadsheetml/2006/main" count="135" uniqueCount="61">
  <si>
    <t>product_name</t>
  </si>
  <si>
    <t>month_year</t>
  </si>
  <si>
    <t>The Original Mr. Fuzzy</t>
  </si>
  <si>
    <t>The Forever Love Bear</t>
  </si>
  <si>
    <t>The Birthday Sugar Panda</t>
  </si>
  <si>
    <t>The Hudson River Mini bear</t>
  </si>
  <si>
    <t>total_sold</t>
  </si>
  <si>
    <t>gross_revenue</t>
  </si>
  <si>
    <t>total_refunds</t>
  </si>
  <si>
    <t>total_cogs</t>
  </si>
  <si>
    <t>net_gross_profit</t>
  </si>
  <si>
    <t>net_margin_pct</t>
  </si>
  <si>
    <t>device_type</t>
  </si>
  <si>
    <t>B-search</t>
  </si>
  <si>
    <t>G-search</t>
  </si>
  <si>
    <t>Organic</t>
  </si>
  <si>
    <t>Socialbook</t>
  </si>
  <si>
    <t>Desktop</t>
  </si>
  <si>
    <t>Mobile</t>
  </si>
  <si>
    <t>utm_source</t>
  </si>
  <si>
    <t>session_count</t>
  </si>
  <si>
    <t>1. Landed</t>
  </si>
  <si>
    <t>2. Product</t>
  </si>
  <si>
    <t>3. Cart</t>
  </si>
  <si>
    <t>4. Shipping</t>
  </si>
  <si>
    <t>5. Billing</t>
  </si>
  <si>
    <t>6. Thank You</t>
  </si>
  <si>
    <t>desktop</t>
  </si>
  <si>
    <t>mobile</t>
  </si>
  <si>
    <t>Device</t>
  </si>
  <si>
    <t>Session</t>
  </si>
  <si>
    <t>left</t>
  </si>
  <si>
    <t>mid</t>
  </si>
  <si>
    <t>right</t>
  </si>
  <si>
    <t>cr_first</t>
  </si>
  <si>
    <t>cr_prev</t>
  </si>
  <si>
    <t>label</t>
  </si>
  <si>
    <t>Landed</t>
  </si>
  <si>
    <t>Product</t>
  </si>
  <si>
    <t>Cart</t>
  </si>
  <si>
    <t>Shipping</t>
  </si>
  <si>
    <t>Billing</t>
  </si>
  <si>
    <t>Thank you</t>
  </si>
  <si>
    <t>Dropoff_Prod_to_Cart</t>
  </si>
  <si>
    <t>Dropoff_Billing_to_Order</t>
  </si>
  <si>
    <t>month</t>
  </si>
  <si>
    <t>Order</t>
  </si>
  <si>
    <t>Phân loại</t>
  </si>
  <si>
    <t>SLĐH</t>
  </si>
  <si>
    <t>Revenue</t>
  </si>
  <si>
    <t>AOV</t>
  </si>
  <si>
    <t>Single</t>
  </si>
  <si>
    <t>Cross-sell</t>
  </si>
  <si>
    <t>product_name_A</t>
  </si>
  <si>
    <t>product_name_B</t>
  </si>
  <si>
    <t>total_orders_A_B</t>
  </si>
  <si>
    <t>support_A_B</t>
  </si>
  <si>
    <t>total_orders_A</t>
  </si>
  <si>
    <t>total_orders_B</t>
  </si>
  <si>
    <t>confidence_A_B</t>
  </si>
  <si>
    <t>lift_A_B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</si>
</sst>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"/>
    <numFmt numFmtId="165" formatCode="yyyy-m"/>
    <numFmt numFmtId="166" formatCode="[&lt;1000]0;[&lt;1000000]0.0,&quot;K&quot;;0.0,,&quot;M&quot;"/>
    <numFmt numFmtId="167" formatCode="#,##0.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1" numFmtId="10" xfId="0" applyFont="1" applyNumberFormat="1"/>
    <xf borderId="0" fillId="0" fontId="2" numFmtId="0" xfId="0" applyFont="1"/>
    <xf borderId="0" fillId="0" fontId="1" numFmtId="0" xfId="0" applyFont="1"/>
    <xf borderId="0" fillId="0" fontId="1" numFmtId="166" xfId="0" applyFont="1" applyNumberFormat="1"/>
    <xf borderId="0" fillId="0" fontId="1" numFmtId="3" xfId="0" applyAlignment="1" applyFont="1" applyNumberFormat="1">
      <alignment readingOrder="0"/>
    </xf>
    <xf borderId="0" fillId="0" fontId="1" numFmtId="3" xfId="0" applyFont="1" applyNumberFormat="1"/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Doanh thu theo Thời gian, chia theo từng sản phẩm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'Product + Time'!$B$1:$B$2</c:f>
            </c:strRef>
          </c:tx>
          <c:spPr>
            <a:ln cmpd="sng">
              <a:solidFill>
                <a:srgbClr val="0B2239"/>
              </a:solidFill>
            </a:ln>
          </c:spPr>
          <c:marker>
            <c:symbol val="none"/>
          </c:marker>
          <c:dPt>
            <c:idx val="0"/>
            <c:marker>
              <c:symbol val="circle"/>
              <c:size val="7"/>
            </c:marker>
          </c:dPt>
          <c:cat>
            <c:strRef>
              <c:f>'Product + Time'!$A$3:$A$39</c:f>
            </c:strRef>
          </c:cat>
          <c:val>
            <c:numRef>
              <c:f>'Product + Time'!$B$3:$B$39</c:f>
              <c:numCache/>
            </c:numRef>
          </c:val>
          <c:smooth val="0"/>
        </c:ser>
        <c:ser>
          <c:idx val="1"/>
          <c:order val="1"/>
          <c:tx>
            <c:strRef>
              <c:f>'Product + Time'!$C$1:$C$2</c:f>
            </c:strRef>
          </c:tx>
          <c:spPr>
            <a:ln cmpd="sng">
              <a:solidFill>
                <a:srgbClr val="C9292A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7"/>
            </c:marker>
          </c:dPt>
          <c:cat>
            <c:strRef>
              <c:f>'Product + Time'!$A$3:$A$39</c:f>
            </c:strRef>
          </c:cat>
          <c:val>
            <c:numRef>
              <c:f>'Product + Time'!$C$3:$C$39</c:f>
              <c:numCache/>
            </c:numRef>
          </c:val>
          <c:smooth val="0"/>
        </c:ser>
        <c:ser>
          <c:idx val="2"/>
          <c:order val="2"/>
          <c:tx>
            <c:strRef>
              <c:f>'Product + Time'!$D$1:$D$2</c:f>
            </c:strRef>
          </c:tx>
          <c:spPr>
            <a:ln cmpd="sng">
              <a:solidFill>
                <a:srgbClr val="FF6005"/>
              </a:solidFill>
            </a:ln>
          </c:spPr>
          <c:marker>
            <c:symbol val="none"/>
          </c:marker>
          <c:dPt>
            <c:idx val="21"/>
            <c:marker>
              <c:symbol val="circle"/>
              <c:size val="7"/>
            </c:marker>
          </c:dPt>
          <c:cat>
            <c:strRef>
              <c:f>'Product + Time'!$A$3:$A$39</c:f>
            </c:strRef>
          </c:cat>
          <c:val>
            <c:numRef>
              <c:f>'Product + Time'!$D$3:$D$39</c:f>
              <c:numCache/>
            </c:numRef>
          </c:val>
          <c:smooth val="0"/>
        </c:ser>
        <c:ser>
          <c:idx val="3"/>
          <c:order val="3"/>
          <c:tx>
            <c:strRef>
              <c:f>'Product + Time'!$E$1:$E$2</c:f>
            </c:strRef>
          </c:tx>
          <c:spPr>
            <a:ln cmpd="sng">
              <a:solidFill>
                <a:srgbClr val="009384"/>
              </a:solidFill>
            </a:ln>
          </c:spPr>
          <c:marker>
            <c:symbol val="none"/>
          </c:marker>
          <c:dPt>
            <c:idx val="23"/>
            <c:marker>
              <c:symbol val="circle"/>
              <c:size val="7"/>
            </c:marker>
          </c:dPt>
          <c:cat>
            <c:strRef>
              <c:f>'Product + Time'!$A$3:$A$39</c:f>
            </c:strRef>
          </c:cat>
          <c:val>
            <c:numRef>
              <c:f>'Product + Time'!$E$3:$E$39</c:f>
              <c:numCache/>
            </c:numRef>
          </c:val>
          <c:smooth val="0"/>
        </c:ser>
        <c:axId val="1593355862"/>
        <c:axId val="810976589"/>
      </c:lineChart>
      <c:catAx>
        <c:axId val="15933558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spPr/>
        <c:txPr>
          <a:bodyPr rot="0"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810976589"/>
      </c:catAx>
      <c:valAx>
        <c:axId val="8109765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5933558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%Tỉ trọng doanh thu theo sản phẩm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Product!$B$8</c:f>
            </c:strRef>
          </c:tx>
          <c:dPt>
            <c:idx val="0"/>
            <c:explosion val="5"/>
            <c:spPr>
              <a:solidFill>
                <a:srgbClr val="0B223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D9D9D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D9D9D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009384"/>
              </a:solidFill>
              <a:ln cmpd="sng" w="9525">
                <a:solidFill>
                  <a:srgbClr val="FFFFFF"/>
                </a:solidFill>
              </a:ln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 sz="1400"/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sz="140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sz="140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sz="1200"/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Product!$A$9:$A$12</c:f>
            </c:strRef>
          </c:cat>
          <c:val>
            <c:numRef>
              <c:f>Product!$B$9:$B$12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t"/>
      <c:overlay val="0"/>
      <c:txPr>
        <a:bodyPr/>
        <a:lstStyle/>
        <a:p>
          <a:pPr lvl="0">
            <a:defRPr b="0" sz="140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%Net Margin theo sản phẩm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Product!$B$32</c:f>
            </c:strRef>
          </c:tx>
          <c:spPr>
            <a:solidFill>
              <a:srgbClr val="D9D9D9"/>
            </a:solidFill>
            <a:ln cmpd="sng">
              <a:noFill/>
            </a:ln>
          </c:spPr>
          <c:invertIfNegative val="0"/>
          <c:dPt>
            <c:idx val="0"/>
            <c:spPr>
              <a:solidFill>
                <a:schemeClr val="accent4"/>
              </a:solidFill>
              <a:ln cmpd="sng">
                <a:noFill/>
              </a:ln>
            </c:spPr>
          </c:dPt>
          <c:dPt>
            <c:idx val="3"/>
            <c:spPr>
              <a:solidFill>
                <a:schemeClr val="accent1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Product!$A$33:$A$36</c:f>
            </c:strRef>
          </c:cat>
          <c:val>
            <c:numRef>
              <c:f>Product!$B$33:$B$36</c:f>
              <c:numCache/>
            </c:numRef>
          </c:val>
        </c:ser>
        <c:axId val="910543643"/>
        <c:axId val="673687692"/>
      </c:barChart>
      <c:catAx>
        <c:axId val="91054364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673687692"/>
      </c:catAx>
      <c:valAx>
        <c:axId val="673687692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91054364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CR% theo Thiết bị và Nguồn</a:t>
            </a:r>
          </a:p>
        </c:rich>
      </c:tx>
      <c:overlay val="0"/>
    </c:title>
    <c:plotArea>
      <c:layout>
        <c:manualLayout>
          <c:xMode val="edge"/>
          <c:yMode val="edge"/>
          <c:x val="0.0370138017565872"/>
          <c:y val="0.19874010079193674"/>
          <c:w val="0.933939774153074"/>
          <c:h val="0.7123830093592514"/>
        </c:manualLayout>
      </c:layout>
      <c:barChart>
        <c:barDir val="col"/>
        <c:ser>
          <c:idx val="0"/>
          <c:order val="0"/>
          <c:tx>
            <c:strRef>
              <c:f>Product!$A$45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Product!$B$44:$E$44</c:f>
            </c:strRef>
          </c:cat>
          <c:val>
            <c:numRef>
              <c:f>Product!$B$45:$E$45</c:f>
              <c:numCache/>
            </c:numRef>
          </c:val>
        </c:ser>
        <c:ser>
          <c:idx val="1"/>
          <c:order val="1"/>
          <c:tx>
            <c:strRef>
              <c:f>Product!$A$46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Product!$B$44:$E$44</c:f>
            </c:strRef>
          </c:cat>
          <c:val>
            <c:numRef>
              <c:f>Product!$B$46:$E$46</c:f>
              <c:numCache/>
            </c:numRef>
          </c:val>
        </c:ser>
        <c:axId val="833301702"/>
        <c:axId val="611956381"/>
      </c:barChart>
      <c:catAx>
        <c:axId val="8333017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611956381"/>
      </c:catAx>
      <c:valAx>
        <c:axId val="611956381"/>
        <c:scaling>
          <c:orientation val="minMax"/>
          <c:max val="0.12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8333017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%Traffic by UTM source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Traffic!$C$1</c:f>
            </c:strRef>
          </c:tx>
          <c:dPt>
            <c:idx val="0"/>
            <c:spPr>
              <a:solidFill>
                <a:srgbClr val="0B2239"/>
              </a:solidFill>
            </c:spPr>
          </c:dPt>
          <c:dPt>
            <c:idx val="1"/>
            <c:spPr>
              <a:solidFill>
                <a:srgbClr val="C9292A"/>
              </a:solidFill>
            </c:spPr>
          </c:dPt>
          <c:dPt>
            <c:idx val="2"/>
            <c:spPr>
              <a:solidFill>
                <a:srgbClr val="FF6005"/>
              </a:solidFill>
            </c:spPr>
          </c:dPt>
          <c:dPt>
            <c:idx val="3"/>
            <c:spPr>
              <a:solidFill>
                <a:srgbClr val="00938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Traffic!$B$2:$B$5</c:f>
            </c:strRef>
          </c:cat>
          <c:val>
            <c:numRef>
              <c:f>Traffic!$C$2:$C$5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%Traffic by Device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Traffic!$C$8</c:f>
            </c:strRef>
          </c:tx>
          <c:dPt>
            <c:idx val="0"/>
            <c:spPr>
              <a:solidFill>
                <a:srgbClr val="0B2239"/>
              </a:solidFill>
            </c:spPr>
          </c:dPt>
          <c:dPt>
            <c:idx val="1"/>
            <c:spPr>
              <a:solidFill>
                <a:srgbClr val="C9292A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Traffic!$B$9:$B$10</c:f>
            </c:strRef>
          </c:cat>
          <c:val>
            <c:numRef>
              <c:f>Traffic!$C$9:$C$10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%Tỉ trọng doanh thu theo sản phẩm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Funnel!$B$8</c:f>
            </c:strRef>
          </c:tx>
          <c:dPt>
            <c:idx val="0"/>
            <c:explosion val="5"/>
            <c:spPr>
              <a:solidFill>
                <a:srgbClr val="0B223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D9D9D9"/>
              </a:solidFill>
              <a:ln cmpd="sng" w="9525">
                <a:solidFill>
                  <a:srgbClr val="FFFFFF"/>
                </a:solidFill>
              </a:ln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/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Funnel!$A$9:$A$10</c:f>
            </c:strRef>
          </c:cat>
          <c:val>
            <c:numRef>
              <c:f>Funnel!$B$9:$B$10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t"/>
      <c:overlay val="0"/>
      <c:txPr>
        <a:bodyPr/>
        <a:lstStyle/>
        <a:p>
          <a:pPr lvl="0">
            <a:defRPr b="0" sz="120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Phễu Desktop</a:t>
            </a:r>
          </a:p>
        </c:rich>
      </c:tx>
      <c:overlay val="0"/>
    </c:title>
    <c:plotArea>
      <c:layout>
        <c:manualLayout>
          <c:xMode val="edge"/>
          <c:yMode val="edge"/>
          <c:x val="0.10819826042963888"/>
          <c:y val="0.13179074446680075"/>
          <c:w val="0.6807183024595267"/>
          <c:h val="0.8209255533199196"/>
        </c:manualLayout>
      </c:layout>
      <c:barChart>
        <c:barDir val="bar"/>
        <c:grouping val="percentStacked"/>
        <c:ser>
          <c:idx val="0"/>
          <c:order val="0"/>
          <c:tx>
            <c:strRef>
              <c:f>Funnel!$C$36</c:f>
            </c:strRef>
          </c:tx>
          <c:spPr>
            <a:solidFill>
              <a:srgbClr val="FFFFFF"/>
            </a:solidFill>
            <a:ln cmpd="sng">
              <a:noFill/>
            </a:ln>
          </c:spPr>
          <c:invertIfNegative val="0"/>
          <c:cat>
            <c:strRef>
              <c:f>Funnel!$A$37:$A$42</c:f>
            </c:strRef>
          </c:cat>
          <c:val>
            <c:numRef>
              <c:f>Funnel!$C$37:$C$42</c:f>
              <c:numCache/>
            </c:numRef>
          </c:val>
        </c:ser>
        <c:ser>
          <c:idx val="1"/>
          <c:order val="1"/>
          <c:tx>
            <c:strRef>
              <c:f>Funnel!$D$36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Funnel!$A$37:$A$42</c:f>
            </c:strRef>
          </c:cat>
          <c:val>
            <c:numRef>
              <c:f>Funnel!$D$37:$D$42</c:f>
              <c:numCache/>
            </c:numRef>
          </c:val>
        </c:ser>
        <c:ser>
          <c:idx val="2"/>
          <c:order val="2"/>
          <c:tx>
            <c:strRef>
              <c:f>Funnel!$H$36</c:f>
            </c:strRef>
          </c:tx>
          <c:spPr>
            <a:solidFill>
              <a:srgbClr val="FFFFFF"/>
            </a:solidFill>
            <a:ln cmpd="sng">
              <a:noFill/>
            </a:ln>
          </c:spPr>
          <c:invertIfNegative val="0"/>
          <c:cat>
            <c:strRef>
              <c:f>Funnel!$A$37:$A$42</c:f>
            </c:strRef>
          </c:cat>
          <c:val>
            <c:numRef>
              <c:f>Funnel!$H$37:$H$42</c:f>
              <c:numCache/>
            </c:numRef>
          </c:val>
        </c:ser>
        <c:ser>
          <c:idx val="3"/>
          <c:order val="3"/>
          <c:tx>
            <c:strRef>
              <c:f>Funnel!$E$36</c:f>
            </c:strRef>
          </c:tx>
          <c:invertIfNegative val="0"/>
          <c:cat>
            <c:strRef>
              <c:f>Funnel!$A$37:$A$42</c:f>
            </c:strRef>
          </c:cat>
          <c:val>
            <c:numRef>
              <c:f>Funnel!$E$37:$E$42</c:f>
              <c:numCache/>
            </c:numRef>
          </c:val>
        </c:ser>
        <c:overlap val="100"/>
        <c:axId val="2045242638"/>
        <c:axId val="125543590"/>
      </c:barChart>
      <c:catAx>
        <c:axId val="204524263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25543590"/>
      </c:catAx>
      <c:valAx>
        <c:axId val="125543590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2045242638"/>
        <c:crosses val="max"/>
      </c:valAx>
    </c:plotArea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Phễu Mobile</a:t>
            </a:r>
          </a:p>
        </c:rich>
      </c:tx>
      <c:overlay val="0"/>
    </c:title>
    <c:plotArea>
      <c:layout>
        <c:manualLayout>
          <c:xMode val="edge"/>
          <c:yMode val="edge"/>
          <c:x val="0.10819826042963888"/>
          <c:y val="0.1317907444668008"/>
          <c:w val="0.6832089624844333"/>
          <c:h val="0.8209255533199196"/>
        </c:manualLayout>
      </c:layout>
      <c:barChart>
        <c:barDir val="bar"/>
        <c:grouping val="percentStacked"/>
        <c:ser>
          <c:idx val="0"/>
          <c:order val="0"/>
          <c:tx>
            <c:strRef>
              <c:f>Funnel!$C$45</c:f>
            </c:strRef>
          </c:tx>
          <c:spPr>
            <a:solidFill>
              <a:srgbClr val="FFFFFF"/>
            </a:solidFill>
            <a:ln cmpd="sng">
              <a:noFill/>
            </a:ln>
          </c:spPr>
          <c:invertIfNegative val="0"/>
          <c:cat>
            <c:strRef>
              <c:f>Funnel!$A$46:$A$51</c:f>
            </c:strRef>
          </c:cat>
          <c:val>
            <c:numRef>
              <c:f>Funnel!$C$46:$C$51</c:f>
              <c:numCache/>
            </c:numRef>
          </c:val>
        </c:ser>
        <c:ser>
          <c:idx val="1"/>
          <c:order val="1"/>
          <c:tx>
            <c:strRef>
              <c:f>Funnel!$D$45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Funnel!$A$46:$A$51</c:f>
            </c:strRef>
          </c:cat>
          <c:val>
            <c:numRef>
              <c:f>Funnel!$D$46:$D$51</c:f>
              <c:numCache/>
            </c:numRef>
          </c:val>
        </c:ser>
        <c:ser>
          <c:idx val="2"/>
          <c:order val="2"/>
          <c:tx>
            <c:strRef>
              <c:f>Funnel!$H$45</c:f>
            </c:strRef>
          </c:tx>
          <c:spPr>
            <a:solidFill>
              <a:srgbClr val="FFFFFF"/>
            </a:solidFill>
            <a:ln cmpd="sng">
              <a:noFill/>
            </a:ln>
          </c:spPr>
          <c:invertIfNegative val="0"/>
          <c:cat>
            <c:strRef>
              <c:f>Funnel!$A$46:$A$51</c:f>
            </c:strRef>
          </c:cat>
          <c:val>
            <c:numRef>
              <c:f>Funnel!$H$46:$H$51</c:f>
              <c:numCache/>
            </c:numRef>
          </c:val>
        </c:ser>
        <c:ser>
          <c:idx val="3"/>
          <c:order val="3"/>
          <c:tx>
            <c:strRef>
              <c:f>Funnel!$E$45</c:f>
            </c:strRef>
          </c:tx>
          <c:invertIfNegative val="0"/>
          <c:cat>
            <c:strRef>
              <c:f>Funnel!$A$46:$A$51</c:f>
            </c:strRef>
          </c:cat>
          <c:val>
            <c:numRef>
              <c:f>Funnel!$E$46:$E$51</c:f>
              <c:numCache/>
            </c:numRef>
          </c:val>
        </c:ser>
        <c:overlap val="100"/>
        <c:axId val="1735237205"/>
        <c:axId val="1140711601"/>
      </c:barChart>
      <c:catAx>
        <c:axId val="173523720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140711601"/>
      </c:catAx>
      <c:valAx>
        <c:axId val="1140711601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735237205"/>
        <c:crosses val="max"/>
      </c:valAx>
    </c:plotArea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Product &gt;&gt; Cart Drop-off Rate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Funnel!$J$79:$J$80</c:f>
            </c:strRef>
          </c:tx>
          <c:spPr>
            <a:ln cmpd="sng">
              <a:solidFill>
                <a:srgbClr val="0B2239"/>
              </a:solidFill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Pt>
            <c:idx val="7"/>
            <c:marker>
              <c:symbol val="none"/>
            </c:marker>
          </c:dPt>
          <c:dPt>
            <c:idx val="8"/>
            <c:marker>
              <c:symbol val="none"/>
            </c:marker>
          </c:dPt>
          <c:dPt>
            <c:idx val="9"/>
            <c:marker>
              <c:symbol val="none"/>
            </c:marker>
          </c:dPt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dPt>
            <c:idx val="12"/>
            <c:marker>
              <c:symbol val="none"/>
            </c:marker>
          </c:dPt>
          <c:dPt>
            <c:idx val="13"/>
            <c:marker>
              <c:symbol val="none"/>
            </c:marker>
          </c:dPt>
          <c:dPt>
            <c:idx val="14"/>
            <c:marker>
              <c:symbol val="none"/>
            </c:marker>
          </c:dPt>
          <c:dPt>
            <c:idx val="15"/>
            <c:marker>
              <c:symbol val="none"/>
            </c:marker>
          </c:dPt>
          <c:dPt>
            <c:idx val="16"/>
            <c:marker>
              <c:symbol val="none"/>
            </c:marker>
          </c:dPt>
          <c:dPt>
            <c:idx val="17"/>
            <c:marker>
              <c:symbol val="none"/>
            </c:marker>
          </c:dPt>
          <c:dPt>
            <c:idx val="18"/>
            <c:marker>
              <c:symbol val="none"/>
            </c:marker>
          </c:dPt>
          <c:dPt>
            <c:idx val="19"/>
            <c:marker>
              <c:symbol val="none"/>
            </c:marker>
          </c:dPt>
          <c:dPt>
            <c:idx val="20"/>
            <c:marker>
              <c:symbol val="none"/>
            </c:marker>
          </c:dPt>
          <c:dPt>
            <c:idx val="21"/>
            <c:marker>
              <c:symbol val="none"/>
            </c:marker>
          </c:dPt>
          <c:dPt>
            <c:idx val="22"/>
            <c:marker>
              <c:symbol val="none"/>
            </c:marker>
          </c:dPt>
          <c:dPt>
            <c:idx val="23"/>
            <c:marker>
              <c:symbol val="none"/>
            </c:marker>
          </c:dPt>
          <c:dPt>
            <c:idx val="24"/>
            <c:marker>
              <c:symbol val="none"/>
            </c:marker>
          </c:dPt>
          <c:dPt>
            <c:idx val="25"/>
            <c:marker>
              <c:symbol val="none"/>
            </c:marker>
          </c:dPt>
          <c:dPt>
            <c:idx val="26"/>
            <c:marker>
              <c:symbol val="none"/>
            </c:marker>
          </c:dPt>
          <c:dPt>
            <c:idx val="27"/>
            <c:marker>
              <c:symbol val="none"/>
            </c:marker>
          </c:dPt>
          <c:dPt>
            <c:idx val="28"/>
            <c:marker>
              <c:symbol val="none"/>
            </c:marker>
          </c:dPt>
          <c:dPt>
            <c:idx val="29"/>
            <c:marker>
              <c:symbol val="none"/>
            </c:marker>
          </c:dPt>
          <c:dPt>
            <c:idx val="30"/>
            <c:marker>
              <c:symbol val="none"/>
            </c:marker>
          </c:dPt>
          <c:dPt>
            <c:idx val="31"/>
            <c:marker>
              <c:symbol val="none"/>
            </c:marker>
          </c:dPt>
          <c:dPt>
            <c:idx val="32"/>
            <c:marker>
              <c:symbol val="none"/>
            </c:marker>
          </c:dPt>
          <c:dPt>
            <c:idx val="33"/>
            <c:marker>
              <c:symbol val="none"/>
            </c:marker>
          </c:dPt>
          <c:dPt>
            <c:idx val="34"/>
            <c:marker>
              <c:symbol val="none"/>
            </c:marker>
          </c:dPt>
          <c:dPt>
            <c:idx val="35"/>
            <c:marker>
              <c:symbol val="none"/>
            </c:marker>
          </c:dPt>
          <c:dPt>
            <c:idx val="36"/>
            <c:marker>
              <c:symbol val="circle"/>
              <c:size val="7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Funnel!$I$81:$I$117</c:f>
            </c:strRef>
          </c:cat>
          <c:val>
            <c:numRef>
              <c:f>Funnel!$J$81:$J$117</c:f>
              <c:numCache/>
            </c:numRef>
          </c:val>
          <c:smooth val="0"/>
        </c:ser>
        <c:ser>
          <c:idx val="1"/>
          <c:order val="1"/>
          <c:tx>
            <c:strRef>
              <c:f>Funnel!$K$79:$K$80</c:f>
            </c:strRef>
          </c:tx>
          <c:spPr>
            <a:ln cmpd="sng">
              <a:solidFill>
                <a:srgbClr val="C9292A"/>
              </a:solidFill>
            </a:ln>
          </c:spPr>
          <c:marker>
            <c:symbol val="none"/>
          </c:marker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dPt>
            <c:idx val="13"/>
            <c:marker>
              <c:symbol val="none"/>
            </c:marker>
          </c:dPt>
          <c:dPt>
            <c:idx val="14"/>
            <c:marker>
              <c:symbol val="none"/>
            </c:marker>
          </c:dPt>
          <c:dPt>
            <c:idx val="15"/>
            <c:marker>
              <c:symbol val="none"/>
            </c:marker>
          </c:dPt>
          <c:dPt>
            <c:idx val="16"/>
            <c:marker>
              <c:symbol val="none"/>
            </c:marker>
          </c:dPt>
          <c:dPt>
            <c:idx val="17"/>
            <c:marker>
              <c:symbol val="none"/>
            </c:marker>
          </c:dPt>
          <c:dPt>
            <c:idx val="18"/>
            <c:marker>
              <c:symbol val="none"/>
            </c:marker>
          </c:dPt>
          <c:dPt>
            <c:idx val="19"/>
            <c:marker>
              <c:symbol val="none"/>
            </c:marker>
          </c:dPt>
          <c:dPt>
            <c:idx val="20"/>
            <c:marker>
              <c:symbol val="none"/>
            </c:marker>
          </c:dPt>
          <c:dPt>
            <c:idx val="21"/>
            <c:marker>
              <c:symbol val="none"/>
            </c:marker>
          </c:dPt>
          <c:dPt>
            <c:idx val="22"/>
            <c:marker>
              <c:symbol val="none"/>
            </c:marker>
          </c:dPt>
          <c:dPt>
            <c:idx val="23"/>
            <c:marker>
              <c:symbol val="none"/>
            </c:marker>
          </c:dPt>
          <c:dPt>
            <c:idx val="24"/>
            <c:marker>
              <c:symbol val="none"/>
            </c:marker>
          </c:dPt>
          <c:dPt>
            <c:idx val="25"/>
            <c:marker>
              <c:symbol val="none"/>
            </c:marker>
          </c:dPt>
          <c:dPt>
            <c:idx val="26"/>
            <c:marker>
              <c:symbol val="none"/>
            </c:marker>
          </c:dPt>
          <c:dPt>
            <c:idx val="27"/>
            <c:marker>
              <c:symbol val="none"/>
            </c:marker>
          </c:dPt>
          <c:dPt>
            <c:idx val="28"/>
            <c:marker>
              <c:symbol val="none"/>
            </c:marker>
          </c:dPt>
          <c:dPt>
            <c:idx val="29"/>
            <c:marker>
              <c:symbol val="none"/>
            </c:marker>
          </c:dPt>
          <c:dPt>
            <c:idx val="30"/>
            <c:marker>
              <c:symbol val="none"/>
            </c:marker>
          </c:dPt>
          <c:dPt>
            <c:idx val="31"/>
            <c:marker>
              <c:symbol val="none"/>
            </c:marker>
          </c:dPt>
          <c:dPt>
            <c:idx val="32"/>
            <c:marker>
              <c:symbol val="none"/>
            </c:marker>
          </c:dPt>
          <c:dPt>
            <c:idx val="33"/>
            <c:marker>
              <c:symbol val="none"/>
            </c:marker>
          </c:dPt>
          <c:dPt>
            <c:idx val="34"/>
            <c:marker>
              <c:symbol val="none"/>
            </c:marker>
          </c:dPt>
          <c:dPt>
            <c:idx val="35"/>
            <c:marker>
              <c:symbol val="none"/>
            </c:marker>
          </c:dPt>
          <c:dPt>
            <c:idx val="36"/>
            <c:marker>
              <c:symbol val="circle"/>
              <c:size val="7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Funnel!$I$81:$I$117</c:f>
            </c:strRef>
          </c:cat>
          <c:val>
            <c:numRef>
              <c:f>Funnel!$K$81:$K$117</c:f>
              <c:numCache/>
            </c:numRef>
          </c:val>
          <c:smooth val="0"/>
        </c:ser>
        <c:axId val="1115904984"/>
        <c:axId val="47673606"/>
      </c:lineChart>
      <c:catAx>
        <c:axId val="11159049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47673606"/>
      </c:catAx>
      <c:valAx>
        <c:axId val="476736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1159049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Billing &gt;&gt; Order Drop-off Rate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Funnel!$N$80</c:f>
            </c:strRef>
          </c:tx>
          <c:spPr>
            <a:ln cmpd="sng">
              <a:solidFill>
                <a:srgbClr val="0B2239"/>
              </a:solidFill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Pt>
            <c:idx val="7"/>
            <c:marker>
              <c:symbol val="none"/>
            </c:marker>
          </c:dPt>
          <c:dPt>
            <c:idx val="8"/>
            <c:marker>
              <c:symbol val="none"/>
            </c:marker>
          </c:dPt>
          <c:dPt>
            <c:idx val="9"/>
            <c:marker>
              <c:symbol val="none"/>
            </c:marker>
          </c:dPt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dPt>
            <c:idx val="12"/>
            <c:marker>
              <c:symbol val="none"/>
            </c:marker>
          </c:dPt>
          <c:dPt>
            <c:idx val="13"/>
            <c:marker>
              <c:symbol val="none"/>
            </c:marker>
          </c:dPt>
          <c:dPt>
            <c:idx val="14"/>
            <c:marker>
              <c:symbol val="none"/>
            </c:marker>
          </c:dPt>
          <c:dPt>
            <c:idx val="15"/>
            <c:marker>
              <c:symbol val="none"/>
            </c:marker>
          </c:dPt>
          <c:dPt>
            <c:idx val="16"/>
            <c:marker>
              <c:symbol val="none"/>
            </c:marker>
          </c:dPt>
          <c:dPt>
            <c:idx val="17"/>
            <c:marker>
              <c:symbol val="none"/>
            </c:marker>
          </c:dPt>
          <c:dPt>
            <c:idx val="18"/>
            <c:marker>
              <c:symbol val="none"/>
            </c:marker>
          </c:dPt>
          <c:dPt>
            <c:idx val="19"/>
            <c:marker>
              <c:symbol val="none"/>
            </c:marker>
          </c:dPt>
          <c:dPt>
            <c:idx val="20"/>
            <c:marker>
              <c:symbol val="none"/>
            </c:marker>
          </c:dPt>
          <c:dPt>
            <c:idx val="21"/>
            <c:marker>
              <c:symbol val="none"/>
            </c:marker>
          </c:dPt>
          <c:dPt>
            <c:idx val="22"/>
            <c:marker>
              <c:symbol val="none"/>
            </c:marker>
          </c:dPt>
          <c:dPt>
            <c:idx val="23"/>
            <c:marker>
              <c:symbol val="none"/>
            </c:marker>
          </c:dPt>
          <c:dPt>
            <c:idx val="24"/>
            <c:marker>
              <c:symbol val="none"/>
            </c:marker>
          </c:dPt>
          <c:dPt>
            <c:idx val="25"/>
            <c:marker>
              <c:symbol val="none"/>
            </c:marker>
          </c:dPt>
          <c:dPt>
            <c:idx val="26"/>
            <c:marker>
              <c:symbol val="none"/>
            </c:marker>
          </c:dPt>
          <c:dPt>
            <c:idx val="27"/>
            <c:marker>
              <c:symbol val="none"/>
            </c:marker>
          </c:dPt>
          <c:dPt>
            <c:idx val="28"/>
            <c:marker>
              <c:symbol val="none"/>
            </c:marker>
          </c:dPt>
          <c:dPt>
            <c:idx val="29"/>
            <c:marker>
              <c:symbol val="none"/>
            </c:marker>
          </c:dPt>
          <c:dPt>
            <c:idx val="30"/>
            <c:marker>
              <c:symbol val="none"/>
            </c:marker>
          </c:dPt>
          <c:dPt>
            <c:idx val="31"/>
            <c:marker>
              <c:symbol val="none"/>
            </c:marker>
          </c:dPt>
          <c:dPt>
            <c:idx val="32"/>
            <c:marker>
              <c:symbol val="none"/>
            </c:marker>
          </c:dPt>
          <c:dPt>
            <c:idx val="33"/>
            <c:marker>
              <c:symbol val="none"/>
            </c:marker>
          </c:dPt>
          <c:dPt>
            <c:idx val="34"/>
            <c:marker>
              <c:symbol val="none"/>
            </c:marker>
          </c:dPt>
          <c:dPt>
            <c:idx val="35"/>
            <c:marker>
              <c:symbol val="none"/>
            </c:marker>
          </c:dPt>
          <c:dPt>
            <c:idx val="36"/>
            <c:marker>
              <c:symbol val="circle"/>
              <c:size val="7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Funnel!$M$81:$M$117</c:f>
            </c:strRef>
          </c:cat>
          <c:val>
            <c:numRef>
              <c:f>Funnel!$N$81:$N$117</c:f>
              <c:numCache/>
            </c:numRef>
          </c:val>
          <c:smooth val="0"/>
        </c:ser>
        <c:ser>
          <c:idx val="1"/>
          <c:order val="1"/>
          <c:tx>
            <c:strRef>
              <c:f>Funnel!$O$80</c:f>
            </c:strRef>
          </c:tx>
          <c:spPr>
            <a:ln cmpd="sng">
              <a:solidFill>
                <a:srgbClr val="C9292A"/>
              </a:solidFill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Pt>
            <c:idx val="7"/>
            <c:marker>
              <c:symbol val="none"/>
            </c:marker>
          </c:dPt>
          <c:dPt>
            <c:idx val="8"/>
            <c:marker>
              <c:symbol val="none"/>
            </c:marker>
          </c:dPt>
          <c:dPt>
            <c:idx val="9"/>
            <c:marker>
              <c:symbol val="none"/>
            </c:marker>
          </c:dPt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dPt>
            <c:idx val="12"/>
            <c:marker>
              <c:symbol val="none"/>
            </c:marker>
          </c:dPt>
          <c:dPt>
            <c:idx val="13"/>
            <c:marker>
              <c:symbol val="none"/>
            </c:marker>
          </c:dPt>
          <c:dPt>
            <c:idx val="14"/>
            <c:marker>
              <c:symbol val="none"/>
            </c:marker>
          </c:dPt>
          <c:dPt>
            <c:idx val="15"/>
            <c:marker>
              <c:symbol val="none"/>
            </c:marker>
          </c:dPt>
          <c:dPt>
            <c:idx val="16"/>
            <c:marker>
              <c:symbol val="none"/>
            </c:marker>
          </c:dPt>
          <c:dPt>
            <c:idx val="17"/>
            <c:marker>
              <c:symbol val="none"/>
            </c:marker>
          </c:dPt>
          <c:dPt>
            <c:idx val="18"/>
            <c:marker>
              <c:symbol val="none"/>
            </c:marker>
          </c:dPt>
          <c:dPt>
            <c:idx val="19"/>
            <c:marker>
              <c:symbol val="none"/>
            </c:marker>
          </c:dPt>
          <c:dPt>
            <c:idx val="20"/>
            <c:marker>
              <c:symbol val="none"/>
            </c:marker>
          </c:dPt>
          <c:dPt>
            <c:idx val="21"/>
            <c:marker>
              <c:symbol val="none"/>
            </c:marker>
          </c:dPt>
          <c:dPt>
            <c:idx val="22"/>
            <c:marker>
              <c:symbol val="none"/>
            </c:marker>
          </c:dPt>
          <c:dPt>
            <c:idx val="23"/>
            <c:marker>
              <c:symbol val="none"/>
            </c:marker>
          </c:dPt>
          <c:dPt>
            <c:idx val="24"/>
            <c:marker>
              <c:symbol val="none"/>
            </c:marker>
          </c:dPt>
          <c:dPt>
            <c:idx val="25"/>
            <c:marker>
              <c:symbol val="none"/>
            </c:marker>
          </c:dPt>
          <c:dPt>
            <c:idx val="26"/>
            <c:marker>
              <c:symbol val="none"/>
            </c:marker>
          </c:dPt>
          <c:dPt>
            <c:idx val="27"/>
            <c:marker>
              <c:symbol val="none"/>
            </c:marker>
          </c:dPt>
          <c:dPt>
            <c:idx val="28"/>
            <c:marker>
              <c:symbol val="none"/>
            </c:marker>
          </c:dPt>
          <c:dPt>
            <c:idx val="29"/>
            <c:marker>
              <c:symbol val="none"/>
            </c:marker>
          </c:dPt>
          <c:dPt>
            <c:idx val="30"/>
            <c:marker>
              <c:symbol val="none"/>
            </c:marker>
          </c:dPt>
          <c:dPt>
            <c:idx val="31"/>
            <c:marker>
              <c:symbol val="none"/>
            </c:marker>
          </c:dPt>
          <c:dPt>
            <c:idx val="32"/>
            <c:marker>
              <c:symbol val="none"/>
            </c:marker>
          </c:dPt>
          <c:dPt>
            <c:idx val="33"/>
            <c:marker>
              <c:symbol val="none"/>
            </c:marker>
          </c:dPt>
          <c:dPt>
            <c:idx val="34"/>
            <c:marker>
              <c:symbol val="none"/>
            </c:marker>
          </c:dPt>
          <c:dPt>
            <c:idx val="35"/>
            <c:marker>
              <c:symbol val="none"/>
            </c:marker>
          </c:dPt>
          <c:dPt>
            <c:idx val="36"/>
            <c:marker>
              <c:symbol val="circle"/>
              <c:size val="7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Funnel!$M$81:$M$117</c:f>
            </c:strRef>
          </c:cat>
          <c:val>
            <c:numRef>
              <c:f>Funnel!$O$81:$O$117</c:f>
              <c:numCache/>
            </c:numRef>
          </c:val>
          <c:smooth val="0"/>
        </c:ser>
        <c:axId val="1340827693"/>
        <c:axId val="754496997"/>
      </c:lineChart>
      <c:catAx>
        <c:axId val="13408276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754496997"/>
      </c:catAx>
      <c:valAx>
        <c:axId val="7544969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3408276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%Tỉ trọng doanh thu theo sản phẩm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'Cross-sell'!$C$1</c:f>
            </c:strRef>
          </c:tx>
          <c:dPt>
            <c:idx val="0"/>
            <c:explosion val="5"/>
            <c:spPr>
              <a:solidFill>
                <a:srgbClr val="0B223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chemeClr val="accent2"/>
              </a:solidFill>
              <a:ln cmpd="sng" w="9525">
                <a:solidFill>
                  <a:srgbClr val="FFFFFF"/>
                </a:solidFill>
              </a:ln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 sz="1400"/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sz="1400"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'Cross-sell'!$B$2:$B$3</c:f>
            </c:strRef>
          </c:cat>
          <c:val>
            <c:numRef>
              <c:f>'Cross-sell'!$C$2:$C$3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t"/>
      <c:overlay val="0"/>
      <c:txPr>
        <a:bodyPr/>
        <a:lstStyle/>
        <a:p>
          <a:pPr lvl="0">
            <a:defRPr b="0" sz="140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352425</xdr:colOff>
      <xdr:row>0</xdr:row>
      <xdr:rowOff>66675</xdr:rowOff>
    </xdr:from>
    <xdr:ext cx="7200900" cy="53340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933450</xdr:colOff>
      <xdr:row>6</xdr:row>
      <xdr:rowOff>171450</xdr:rowOff>
    </xdr:from>
    <xdr:ext cx="7467600" cy="53721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895350</xdr:colOff>
      <xdr:row>6</xdr:row>
      <xdr:rowOff>171450</xdr:rowOff>
    </xdr:from>
    <xdr:ext cx="7467600" cy="53721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542925</xdr:colOff>
      <xdr:row>38</xdr:row>
      <xdr:rowOff>66675</xdr:rowOff>
    </xdr:from>
    <xdr:ext cx="7591425" cy="44100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11</xdr:row>
      <xdr:rowOff>0</xdr:rowOff>
    </xdr:from>
    <xdr:ext cx="5715000" cy="47148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209550</xdr:colOff>
      <xdr:row>11</xdr:row>
      <xdr:rowOff>0</xdr:rowOff>
    </xdr:from>
    <xdr:ext cx="5715000" cy="47148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9525</xdr:rowOff>
    </xdr:from>
    <xdr:ext cx="6210300" cy="446722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52</xdr:row>
      <xdr:rowOff>66675</xdr:rowOff>
    </xdr:from>
    <xdr:ext cx="7648575" cy="473392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171450</xdr:colOff>
      <xdr:row>52</xdr:row>
      <xdr:rowOff>66675</xdr:rowOff>
    </xdr:from>
    <xdr:ext cx="7648575" cy="473392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15</xdr:col>
      <xdr:colOff>895350</xdr:colOff>
      <xdr:row>78</xdr:row>
      <xdr:rowOff>9525</xdr:rowOff>
    </xdr:from>
    <xdr:ext cx="7153275" cy="518160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15</xdr:col>
      <xdr:colOff>895350</xdr:colOff>
      <xdr:row>105</xdr:row>
      <xdr:rowOff>9525</xdr:rowOff>
    </xdr:from>
    <xdr:ext cx="7153275" cy="5181600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4</xdr:row>
      <xdr:rowOff>57150</xdr:rowOff>
    </xdr:from>
    <xdr:ext cx="6000750" cy="5372100"/>
    <xdr:graphicFrame>
      <xdr:nvGraphicFramePr>
        <xdr:cNvPr id="12" name="Chart 12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71924"/>
      </a:dk1>
      <a:lt1>
        <a:srgbClr val="FFFFFF"/>
      </a:lt1>
      <a:dk2>
        <a:srgbClr val="071924"/>
      </a:dk2>
      <a:lt2>
        <a:srgbClr val="FFFFFF"/>
      </a:lt2>
      <a:accent1>
        <a:srgbClr val="0B2239"/>
      </a:accent1>
      <a:accent2>
        <a:srgbClr val="C9292A"/>
      </a:accent2>
      <a:accent3>
        <a:srgbClr val="FF6005"/>
      </a:accent3>
      <a:accent4>
        <a:srgbClr val="009384"/>
      </a:accent4>
      <a:accent5>
        <a:srgbClr val="EDDAC9"/>
      </a:accent5>
      <a:accent6>
        <a:srgbClr val="6FC8D6"/>
      </a:accent6>
      <a:hlink>
        <a:srgbClr val="009384"/>
      </a:hlink>
      <a:folHlink>
        <a:srgbClr val="009384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>
      <c r="A3" s="2">
        <v>40969.0</v>
      </c>
      <c r="B3" s="1">
        <v>2999.4</v>
      </c>
    </row>
    <row r="4">
      <c r="A4" s="2">
        <v>41000.0</v>
      </c>
      <c r="B4" s="1">
        <v>4949.01</v>
      </c>
    </row>
    <row r="5">
      <c r="A5" s="2">
        <v>41030.0</v>
      </c>
      <c r="B5" s="1">
        <v>5398.92</v>
      </c>
    </row>
    <row r="6">
      <c r="A6" s="2">
        <v>41061.0</v>
      </c>
      <c r="B6" s="1">
        <v>6998.6</v>
      </c>
    </row>
    <row r="7">
      <c r="A7" s="2">
        <v>41091.0</v>
      </c>
      <c r="B7" s="1">
        <v>8448.31</v>
      </c>
    </row>
    <row r="8">
      <c r="A8" s="2">
        <v>41122.0</v>
      </c>
      <c r="B8" s="1">
        <v>11397.72</v>
      </c>
    </row>
    <row r="9">
      <c r="A9" s="2">
        <v>41153.0</v>
      </c>
      <c r="B9" s="1">
        <v>14347.13</v>
      </c>
    </row>
    <row r="10">
      <c r="A10" s="3">
        <v>41183.0</v>
      </c>
      <c r="B10" s="1">
        <v>18546.29</v>
      </c>
    </row>
    <row r="11">
      <c r="A11" s="3">
        <v>41214.0</v>
      </c>
      <c r="B11" s="1">
        <v>30893.82</v>
      </c>
    </row>
    <row r="12">
      <c r="A12" s="3">
        <v>41244.0</v>
      </c>
      <c r="B12" s="1">
        <v>25294.94</v>
      </c>
    </row>
    <row r="13">
      <c r="A13" s="2">
        <v>41275.0</v>
      </c>
      <c r="B13" s="1">
        <v>17146.57</v>
      </c>
      <c r="C13" s="1">
        <v>2819.53</v>
      </c>
    </row>
    <row r="14">
      <c r="A14" s="2">
        <v>41306.0</v>
      </c>
      <c r="B14" s="1">
        <v>16796.64</v>
      </c>
      <c r="C14" s="1">
        <v>9718.38</v>
      </c>
    </row>
    <row r="15">
      <c r="A15" s="2">
        <v>41334.0</v>
      </c>
      <c r="B15" s="1">
        <v>15996.8</v>
      </c>
      <c r="C15" s="1">
        <v>3899.35</v>
      </c>
    </row>
    <row r="16">
      <c r="A16" s="2">
        <v>41365.0</v>
      </c>
      <c r="B16" s="1">
        <v>22945.41</v>
      </c>
      <c r="C16" s="1">
        <v>5639.06</v>
      </c>
    </row>
    <row r="17">
      <c r="A17" s="2">
        <v>41395.0</v>
      </c>
      <c r="B17" s="1">
        <v>24445.11</v>
      </c>
      <c r="C17" s="1">
        <v>4919.18</v>
      </c>
    </row>
    <row r="18">
      <c r="A18" s="2">
        <v>41426.0</v>
      </c>
      <c r="B18" s="1">
        <v>25144.97</v>
      </c>
      <c r="C18" s="1">
        <v>5399.1</v>
      </c>
    </row>
    <row r="19">
      <c r="A19" s="2">
        <v>41456.0</v>
      </c>
      <c r="B19" s="1">
        <v>25444.91</v>
      </c>
      <c r="C19" s="1">
        <v>5699.05</v>
      </c>
    </row>
    <row r="20">
      <c r="A20" s="2">
        <v>41487.0</v>
      </c>
      <c r="B20" s="1">
        <v>25494.9</v>
      </c>
      <c r="C20" s="1">
        <v>5879.02</v>
      </c>
    </row>
    <row r="21">
      <c r="A21" s="2">
        <v>41518.0</v>
      </c>
      <c r="B21" s="1">
        <v>26844.63</v>
      </c>
      <c r="C21" s="1">
        <v>5879.02</v>
      </c>
    </row>
    <row r="22">
      <c r="A22" s="3">
        <v>41548.0</v>
      </c>
      <c r="B22" s="1">
        <v>30143.97</v>
      </c>
      <c r="C22" s="1">
        <v>8098.65</v>
      </c>
    </row>
    <row r="23">
      <c r="A23" s="3">
        <v>41579.0</v>
      </c>
      <c r="B23" s="1">
        <v>36192.76</v>
      </c>
      <c r="C23" s="1">
        <v>10438.26</v>
      </c>
    </row>
    <row r="24">
      <c r="A24" s="3">
        <v>41609.0</v>
      </c>
      <c r="B24" s="1">
        <v>40891.82</v>
      </c>
      <c r="C24" s="1">
        <v>10978.17</v>
      </c>
      <c r="D24" s="1">
        <v>6392.61</v>
      </c>
    </row>
    <row r="25">
      <c r="A25" s="2">
        <v>41640.0</v>
      </c>
      <c r="B25" s="1">
        <v>36392.72</v>
      </c>
      <c r="C25" s="1">
        <v>10978.17</v>
      </c>
      <c r="D25" s="1">
        <v>9198.0</v>
      </c>
    </row>
    <row r="26">
      <c r="A26" s="2">
        <v>41671.0</v>
      </c>
      <c r="B26" s="1">
        <v>29194.16</v>
      </c>
      <c r="C26" s="1">
        <v>21056.49</v>
      </c>
      <c r="D26" s="1">
        <v>9703.89</v>
      </c>
      <c r="E26" s="1">
        <v>6057.98</v>
      </c>
    </row>
    <row r="27">
      <c r="A27" s="2">
        <v>41699.0</v>
      </c>
      <c r="B27" s="1">
        <v>39242.15</v>
      </c>
      <c r="C27" s="1">
        <v>11578.07</v>
      </c>
      <c r="D27" s="1">
        <v>11221.56</v>
      </c>
      <c r="E27" s="1">
        <v>6147.95</v>
      </c>
    </row>
    <row r="28">
      <c r="A28" s="2">
        <v>41730.0</v>
      </c>
      <c r="B28" s="1">
        <v>45840.83</v>
      </c>
      <c r="C28" s="1">
        <v>12837.86</v>
      </c>
      <c r="D28" s="1">
        <v>12279.33</v>
      </c>
      <c r="E28" s="1">
        <v>7767.41</v>
      </c>
    </row>
    <row r="29">
      <c r="A29" s="2">
        <v>41760.0</v>
      </c>
      <c r="B29" s="1">
        <v>51489.7</v>
      </c>
      <c r="C29" s="1">
        <v>14757.54</v>
      </c>
      <c r="D29" s="1">
        <v>13751.01</v>
      </c>
      <c r="E29" s="1">
        <v>8937.02</v>
      </c>
    </row>
    <row r="30">
      <c r="A30" s="2">
        <v>41791.0</v>
      </c>
      <c r="B30" s="1">
        <v>44641.07</v>
      </c>
      <c r="C30" s="1">
        <v>14697.55</v>
      </c>
      <c r="D30" s="1">
        <v>13245.12</v>
      </c>
      <c r="E30" s="1">
        <v>7467.51</v>
      </c>
    </row>
    <row r="31">
      <c r="A31" s="2">
        <v>41821.0</v>
      </c>
      <c r="B31" s="1">
        <v>48040.39</v>
      </c>
      <c r="C31" s="1">
        <v>14637.56</v>
      </c>
      <c r="D31" s="1">
        <v>12693.24</v>
      </c>
      <c r="E31" s="1">
        <v>7917.36</v>
      </c>
    </row>
    <row r="32">
      <c r="A32" s="2">
        <v>41852.0</v>
      </c>
      <c r="B32" s="1">
        <v>47890.42</v>
      </c>
      <c r="C32" s="1">
        <v>14217.63</v>
      </c>
      <c r="D32" s="1">
        <v>13521.06</v>
      </c>
      <c r="E32" s="1">
        <v>9086.97</v>
      </c>
    </row>
    <row r="33">
      <c r="A33" s="2">
        <v>41883.0</v>
      </c>
      <c r="B33" s="1">
        <v>52789.44</v>
      </c>
      <c r="C33" s="1">
        <v>15057.49</v>
      </c>
      <c r="D33" s="1">
        <v>14578.83</v>
      </c>
      <c r="E33" s="1">
        <v>9806.73</v>
      </c>
    </row>
    <row r="34">
      <c r="A34" s="3">
        <v>41913.0</v>
      </c>
      <c r="B34" s="1">
        <v>58638.27</v>
      </c>
      <c r="C34" s="1">
        <v>17037.16</v>
      </c>
      <c r="D34" s="1">
        <v>16924.32</v>
      </c>
      <c r="E34" s="1">
        <v>11306.23</v>
      </c>
    </row>
    <row r="35">
      <c r="A35" s="3">
        <v>41944.0</v>
      </c>
      <c r="B35" s="1">
        <v>72535.49</v>
      </c>
      <c r="C35" s="1">
        <v>22616.23</v>
      </c>
      <c r="D35" s="1">
        <v>19545.75</v>
      </c>
      <c r="E35" s="1">
        <v>13465.51</v>
      </c>
    </row>
    <row r="36">
      <c r="A36" s="3">
        <v>41974.0</v>
      </c>
      <c r="B36" s="1">
        <v>79184.16</v>
      </c>
      <c r="C36" s="1">
        <v>23216.13</v>
      </c>
      <c r="D36" s="1">
        <v>24788.61</v>
      </c>
      <c r="E36" s="1">
        <v>17634.12</v>
      </c>
    </row>
    <row r="37">
      <c r="A37" s="2">
        <v>42005.0</v>
      </c>
      <c r="B37" s="1">
        <v>69586.08</v>
      </c>
      <c r="C37" s="1">
        <v>23636.06</v>
      </c>
      <c r="D37" s="1">
        <v>20695.5</v>
      </c>
      <c r="E37" s="1">
        <v>18293.9</v>
      </c>
    </row>
    <row r="38">
      <c r="A38" s="2">
        <v>42036.0</v>
      </c>
      <c r="B38" s="1">
        <v>55638.87</v>
      </c>
      <c r="C38" s="1">
        <v>38633.56</v>
      </c>
      <c r="D38" s="1">
        <v>18625.95</v>
      </c>
      <c r="E38" s="1">
        <v>16314.56</v>
      </c>
    </row>
    <row r="39">
      <c r="A39" s="2">
        <v>42064.0</v>
      </c>
      <c r="B39" s="1">
        <v>43191.36</v>
      </c>
      <c r="C39" s="1">
        <v>13377.77</v>
      </c>
      <c r="D39" s="1">
        <v>12095.37</v>
      </c>
      <c r="E39" s="1">
        <v>10286.57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6" max="6" width="14.13"/>
    <col customWidth="1" min="8" max="8" width="13.38"/>
  </cols>
  <sheetData>
    <row r="1">
      <c r="A1" s="4" t="s">
        <v>0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/>
    </row>
    <row r="2">
      <c r="A2" s="1" t="s">
        <v>5</v>
      </c>
      <c r="B2" s="1">
        <v>5018.0</v>
      </c>
      <c r="C2" s="1">
        <v>150489.82</v>
      </c>
      <c r="D2" s="1">
        <v>1919.36</v>
      </c>
      <c r="E2" s="1">
        <v>47620.82</v>
      </c>
      <c r="F2" s="1">
        <f t="shared" ref="F2:F5" si="1">C2-D2-E2</f>
        <v>100949.64</v>
      </c>
      <c r="G2" s="5">
        <f t="shared" ref="G2:G5" si="2">F2/C2</f>
        <v>0.6708071018</v>
      </c>
      <c r="H2" s="6">
        <f t="shared" ref="H2:H5" si="3">D2/C2</f>
        <v>0.01275408529</v>
      </c>
    </row>
    <row r="3">
      <c r="A3" s="1" t="s">
        <v>4</v>
      </c>
      <c r="B3" s="1">
        <v>4985.0</v>
      </c>
      <c r="C3" s="1">
        <v>229260.15</v>
      </c>
      <c r="D3" s="1">
        <v>13842.99</v>
      </c>
      <c r="E3" s="1">
        <v>72232.65</v>
      </c>
      <c r="F3" s="1">
        <f t="shared" si="1"/>
        <v>143184.51</v>
      </c>
      <c r="G3" s="5">
        <f t="shared" si="2"/>
        <v>0.6245503634</v>
      </c>
      <c r="H3" s="6">
        <f t="shared" si="3"/>
        <v>0.06038114343</v>
      </c>
    </row>
    <row r="4">
      <c r="A4" s="1" t="s">
        <v>3</v>
      </c>
      <c r="B4" s="1">
        <v>5796.0</v>
      </c>
      <c r="C4" s="1">
        <v>347702.04</v>
      </c>
      <c r="D4" s="1">
        <v>7738.71</v>
      </c>
      <c r="E4" s="1">
        <v>130352.04</v>
      </c>
      <c r="F4" s="1">
        <f t="shared" si="1"/>
        <v>209611.29</v>
      </c>
      <c r="G4" s="5">
        <f t="shared" si="2"/>
        <v>0.6028474553</v>
      </c>
      <c r="H4" s="6">
        <f t="shared" si="3"/>
        <v>0.02225672878</v>
      </c>
    </row>
    <row r="5">
      <c r="A5" s="1" t="s">
        <v>2</v>
      </c>
      <c r="B5" s="1">
        <v>24226.0</v>
      </c>
      <c r="C5" s="1">
        <v>1211057.74</v>
      </c>
      <c r="D5" s="1">
        <v>61837.63</v>
      </c>
      <c r="E5" s="1">
        <v>472164.74</v>
      </c>
      <c r="F5" s="1">
        <f t="shared" si="1"/>
        <v>677055.37</v>
      </c>
      <c r="G5" s="5">
        <f t="shared" si="2"/>
        <v>0.5590611807</v>
      </c>
      <c r="H5" s="6">
        <f t="shared" si="3"/>
        <v>0.05106084372</v>
      </c>
    </row>
    <row r="8">
      <c r="A8" s="7" t="s">
        <v>0</v>
      </c>
      <c r="B8" s="7" t="s">
        <v>7</v>
      </c>
    </row>
    <row r="9">
      <c r="A9" s="8" t="s">
        <v>2</v>
      </c>
      <c r="B9" s="9">
        <v>1211057.74</v>
      </c>
    </row>
    <row r="10">
      <c r="A10" s="8" t="s">
        <v>3</v>
      </c>
      <c r="B10" s="9">
        <v>347702.04</v>
      </c>
    </row>
    <row r="11">
      <c r="A11" s="8" t="s">
        <v>4</v>
      </c>
      <c r="B11" s="9">
        <v>229260.15</v>
      </c>
    </row>
    <row r="12">
      <c r="A12" s="8" t="s">
        <v>5</v>
      </c>
      <c r="B12" s="9">
        <v>150489.82</v>
      </c>
    </row>
    <row r="22">
      <c r="M22" s="7"/>
      <c r="N22" s="7"/>
    </row>
    <row r="23">
      <c r="M23" s="7"/>
      <c r="N23" s="7"/>
    </row>
    <row r="24">
      <c r="M24" s="7"/>
      <c r="N24" s="7"/>
    </row>
    <row r="32">
      <c r="A32" s="8" t="s">
        <v>0</v>
      </c>
      <c r="B32" s="8" t="s">
        <v>11</v>
      </c>
    </row>
    <row r="33">
      <c r="A33" s="8" t="s">
        <v>5</v>
      </c>
      <c r="B33" s="5">
        <v>0.6708071017694088</v>
      </c>
    </row>
    <row r="34">
      <c r="A34" s="8" t="s">
        <v>4</v>
      </c>
      <c r="B34" s="5">
        <v>0.6245503634190243</v>
      </c>
    </row>
    <row r="35">
      <c r="A35" s="8" t="s">
        <v>3</v>
      </c>
      <c r="B35" s="5">
        <v>0.6028474552522038</v>
      </c>
    </row>
    <row r="36">
      <c r="A36" s="8" t="s">
        <v>2</v>
      </c>
      <c r="B36" s="5">
        <v>0.5590611806832597</v>
      </c>
    </row>
    <row r="44">
      <c r="A44" s="1" t="s">
        <v>12</v>
      </c>
      <c r="B44" s="1" t="s">
        <v>13</v>
      </c>
      <c r="C44" s="1" t="s">
        <v>14</v>
      </c>
      <c r="D44" s="1" t="s">
        <v>15</v>
      </c>
      <c r="E44" s="1" t="s">
        <v>16</v>
      </c>
    </row>
    <row r="45">
      <c r="A45" s="1" t="s">
        <v>17</v>
      </c>
      <c r="B45" s="6">
        <v>0.07852641</v>
      </c>
      <c r="C45" s="6">
        <v>0.08432793999999999</v>
      </c>
      <c r="D45" s="6">
        <v>0.09892198</v>
      </c>
      <c r="E45" s="6">
        <v>0.04990183</v>
      </c>
    </row>
    <row r="46">
      <c r="A46" s="1" t="s">
        <v>18</v>
      </c>
      <c r="B46" s="6">
        <v>0.030136669999999997</v>
      </c>
      <c r="C46" s="6">
        <v>0.03165673</v>
      </c>
      <c r="D46" s="6">
        <v>0.03199798</v>
      </c>
      <c r="E46" s="6">
        <v>0.00830964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19</v>
      </c>
      <c r="C1" s="9" t="s">
        <v>20</v>
      </c>
    </row>
    <row r="2">
      <c r="B2" s="1" t="s">
        <v>14</v>
      </c>
      <c r="C2" s="9">
        <v>316035.0</v>
      </c>
    </row>
    <row r="3">
      <c r="B3" s="1" t="s">
        <v>15</v>
      </c>
      <c r="C3" s="9">
        <v>83328.0</v>
      </c>
    </row>
    <row r="4">
      <c r="B4" s="1" t="s">
        <v>13</v>
      </c>
      <c r="C4" s="9">
        <v>62823.0</v>
      </c>
    </row>
    <row r="5">
      <c r="B5" s="1" t="s">
        <v>16</v>
      </c>
      <c r="C5" s="9">
        <v>10685.0</v>
      </c>
    </row>
    <row r="6">
      <c r="C6" s="9"/>
    </row>
    <row r="7">
      <c r="C7" s="9"/>
    </row>
    <row r="8">
      <c r="B8" s="1" t="s">
        <v>12</v>
      </c>
      <c r="C8" s="9" t="s">
        <v>20</v>
      </c>
    </row>
    <row r="9">
      <c r="B9" s="1" t="s">
        <v>17</v>
      </c>
      <c r="C9" s="9">
        <v>327027.0</v>
      </c>
    </row>
    <row r="10">
      <c r="B10" s="1" t="s">
        <v>18</v>
      </c>
      <c r="C10" s="9">
        <v>145844.0</v>
      </c>
    </row>
    <row r="11">
      <c r="C11" s="9"/>
    </row>
    <row r="12">
      <c r="C12" s="9"/>
    </row>
    <row r="13">
      <c r="C13" s="9"/>
    </row>
    <row r="14">
      <c r="C14" s="9"/>
    </row>
    <row r="15">
      <c r="C15" s="9"/>
    </row>
    <row r="16">
      <c r="C16" s="9"/>
    </row>
    <row r="17">
      <c r="C17" s="9"/>
    </row>
    <row r="18">
      <c r="C18" s="9"/>
      <c r="E18" s="9">
        <v>229260.15</v>
      </c>
    </row>
    <row r="19">
      <c r="C19" s="9"/>
    </row>
    <row r="20">
      <c r="C20" s="9"/>
    </row>
    <row r="21">
      <c r="C21" s="9"/>
    </row>
    <row r="22">
      <c r="C22" s="9"/>
    </row>
    <row r="23">
      <c r="C23" s="9"/>
    </row>
    <row r="24">
      <c r="C24" s="9"/>
    </row>
    <row r="25">
      <c r="C25" s="9"/>
    </row>
    <row r="26">
      <c r="C26" s="9"/>
    </row>
    <row r="27">
      <c r="C27" s="9"/>
    </row>
    <row r="28">
      <c r="C28" s="9"/>
    </row>
    <row r="29">
      <c r="C29" s="9"/>
    </row>
    <row r="30">
      <c r="C30" s="9"/>
    </row>
    <row r="31">
      <c r="C31" s="9"/>
    </row>
    <row r="32">
      <c r="C32" s="9"/>
    </row>
    <row r="33">
      <c r="C33" s="9"/>
    </row>
    <row r="34">
      <c r="C34" s="9"/>
    </row>
    <row r="35">
      <c r="C35" s="9"/>
    </row>
    <row r="36">
      <c r="C36" s="9"/>
    </row>
    <row r="37">
      <c r="C37" s="9"/>
    </row>
    <row r="38">
      <c r="C38" s="9"/>
    </row>
    <row r="39">
      <c r="C39" s="9"/>
    </row>
    <row r="40">
      <c r="C40" s="9"/>
    </row>
    <row r="41">
      <c r="C41" s="9"/>
    </row>
    <row r="42">
      <c r="C42" s="9"/>
    </row>
    <row r="43">
      <c r="C43" s="9"/>
    </row>
    <row r="44">
      <c r="C44" s="9"/>
    </row>
    <row r="45">
      <c r="C45" s="9"/>
    </row>
    <row r="46">
      <c r="C46" s="9"/>
    </row>
    <row r="47">
      <c r="C47" s="9"/>
    </row>
    <row r="48">
      <c r="C48" s="9"/>
    </row>
    <row r="49">
      <c r="C49" s="9"/>
    </row>
    <row r="50">
      <c r="C50" s="9"/>
    </row>
    <row r="51">
      <c r="C51" s="9"/>
    </row>
    <row r="52">
      <c r="C52" s="9"/>
    </row>
    <row r="53">
      <c r="C53" s="9"/>
    </row>
    <row r="54">
      <c r="C54" s="9"/>
    </row>
    <row r="55">
      <c r="C55" s="9"/>
    </row>
    <row r="56">
      <c r="C56" s="9"/>
    </row>
    <row r="57">
      <c r="C57" s="9"/>
    </row>
    <row r="58">
      <c r="C58" s="9"/>
    </row>
    <row r="59">
      <c r="C59" s="9"/>
    </row>
    <row r="60">
      <c r="C60" s="9"/>
    </row>
    <row r="61">
      <c r="C61" s="9"/>
    </row>
    <row r="62">
      <c r="C62" s="9"/>
    </row>
    <row r="63">
      <c r="C63" s="9"/>
    </row>
    <row r="64">
      <c r="C64" s="9"/>
    </row>
    <row r="65">
      <c r="C65" s="9"/>
    </row>
    <row r="66">
      <c r="C66" s="9"/>
    </row>
    <row r="67">
      <c r="C67" s="9"/>
    </row>
    <row r="68">
      <c r="C68" s="9"/>
    </row>
    <row r="69">
      <c r="C69" s="9"/>
    </row>
    <row r="70">
      <c r="C70" s="9"/>
    </row>
    <row r="71">
      <c r="C71" s="9"/>
    </row>
    <row r="72">
      <c r="C72" s="9"/>
    </row>
    <row r="73">
      <c r="C73" s="9"/>
    </row>
    <row r="74">
      <c r="C74" s="9"/>
    </row>
    <row r="75">
      <c r="C75" s="9"/>
    </row>
    <row r="76">
      <c r="C76" s="9"/>
    </row>
    <row r="77">
      <c r="C77" s="9"/>
    </row>
    <row r="78">
      <c r="C78" s="9"/>
    </row>
    <row r="79">
      <c r="C79" s="9"/>
    </row>
    <row r="80">
      <c r="C80" s="9"/>
    </row>
    <row r="81">
      <c r="C81" s="9"/>
    </row>
    <row r="82">
      <c r="C82" s="9"/>
    </row>
    <row r="83">
      <c r="C83" s="9"/>
    </row>
    <row r="84">
      <c r="C84" s="9"/>
    </row>
    <row r="85">
      <c r="C85" s="9"/>
    </row>
    <row r="86">
      <c r="C86" s="9"/>
    </row>
    <row r="87">
      <c r="C87" s="9"/>
    </row>
    <row r="88">
      <c r="C88" s="9"/>
    </row>
    <row r="89">
      <c r="C89" s="9"/>
    </row>
    <row r="90">
      <c r="C90" s="9"/>
    </row>
    <row r="91">
      <c r="C91" s="9"/>
    </row>
    <row r="92">
      <c r="C92" s="9"/>
    </row>
    <row r="93">
      <c r="C93" s="9"/>
    </row>
    <row r="94">
      <c r="C94" s="9"/>
    </row>
    <row r="95">
      <c r="C95" s="9"/>
    </row>
    <row r="96">
      <c r="C96" s="9"/>
    </row>
    <row r="97">
      <c r="C97" s="9"/>
    </row>
    <row r="98">
      <c r="C98" s="9"/>
    </row>
    <row r="99">
      <c r="C99" s="9"/>
    </row>
    <row r="100">
      <c r="C100" s="9"/>
    </row>
    <row r="101">
      <c r="C101" s="9"/>
    </row>
    <row r="102">
      <c r="C102" s="9"/>
    </row>
    <row r="103">
      <c r="C103" s="9"/>
    </row>
    <row r="104">
      <c r="C104" s="9"/>
    </row>
    <row r="105">
      <c r="C105" s="9"/>
    </row>
    <row r="106">
      <c r="C106" s="9"/>
    </row>
    <row r="107">
      <c r="C107" s="9"/>
    </row>
    <row r="108">
      <c r="C108" s="9"/>
    </row>
    <row r="109">
      <c r="C109" s="9"/>
    </row>
    <row r="110">
      <c r="C110" s="9"/>
    </row>
    <row r="111">
      <c r="C111" s="9"/>
    </row>
    <row r="112">
      <c r="C112" s="9"/>
    </row>
    <row r="113">
      <c r="C113" s="9"/>
    </row>
    <row r="114">
      <c r="C114" s="9"/>
    </row>
    <row r="115">
      <c r="C115" s="9"/>
    </row>
    <row r="116">
      <c r="C116" s="9"/>
    </row>
    <row r="117">
      <c r="C117" s="9"/>
    </row>
    <row r="118">
      <c r="C118" s="9"/>
    </row>
    <row r="119">
      <c r="C119" s="9"/>
    </row>
    <row r="120">
      <c r="C120" s="9"/>
    </row>
    <row r="121">
      <c r="C121" s="9"/>
    </row>
    <row r="122">
      <c r="C122" s="9"/>
    </row>
    <row r="123">
      <c r="C123" s="9"/>
    </row>
    <row r="124">
      <c r="C124" s="9"/>
    </row>
    <row r="125">
      <c r="C125" s="9"/>
    </row>
    <row r="126">
      <c r="C126" s="9"/>
    </row>
    <row r="127">
      <c r="C127" s="9"/>
    </row>
    <row r="128">
      <c r="C128" s="9"/>
    </row>
    <row r="129">
      <c r="C129" s="9"/>
    </row>
    <row r="130">
      <c r="C130" s="9"/>
    </row>
    <row r="131">
      <c r="C131" s="9"/>
    </row>
    <row r="132">
      <c r="C132" s="9"/>
    </row>
    <row r="133">
      <c r="C133" s="9"/>
    </row>
    <row r="134">
      <c r="C134" s="9"/>
    </row>
    <row r="135">
      <c r="C135" s="9"/>
    </row>
    <row r="136">
      <c r="C136" s="9"/>
    </row>
    <row r="137">
      <c r="C137" s="9"/>
    </row>
    <row r="138">
      <c r="C138" s="9"/>
    </row>
    <row r="139">
      <c r="C139" s="9"/>
    </row>
    <row r="140">
      <c r="C140" s="9"/>
    </row>
    <row r="141">
      <c r="C141" s="9"/>
    </row>
    <row r="142">
      <c r="C142" s="9"/>
    </row>
    <row r="143">
      <c r="C143" s="9"/>
    </row>
    <row r="144">
      <c r="C144" s="9"/>
    </row>
    <row r="145">
      <c r="C145" s="9"/>
    </row>
    <row r="146">
      <c r="C146" s="9"/>
    </row>
    <row r="147">
      <c r="C147" s="9"/>
    </row>
    <row r="148">
      <c r="C148" s="9"/>
    </row>
    <row r="149">
      <c r="C149" s="9"/>
    </row>
    <row r="150">
      <c r="C150" s="9"/>
    </row>
    <row r="151">
      <c r="C151" s="9"/>
    </row>
    <row r="152">
      <c r="C152" s="9"/>
    </row>
    <row r="153">
      <c r="C153" s="9"/>
    </row>
    <row r="154">
      <c r="C154" s="9"/>
    </row>
    <row r="155">
      <c r="C155" s="9"/>
    </row>
    <row r="156">
      <c r="C156" s="9"/>
    </row>
    <row r="157">
      <c r="C157" s="9"/>
    </row>
    <row r="158">
      <c r="C158" s="9"/>
    </row>
    <row r="159">
      <c r="C159" s="9"/>
    </row>
    <row r="160">
      <c r="C160" s="9"/>
    </row>
    <row r="161">
      <c r="C161" s="9"/>
    </row>
    <row r="162">
      <c r="C162" s="9"/>
    </row>
    <row r="163">
      <c r="C163" s="9"/>
    </row>
    <row r="164">
      <c r="C164" s="9"/>
    </row>
    <row r="165">
      <c r="C165" s="9"/>
    </row>
    <row r="166">
      <c r="C166" s="9"/>
    </row>
    <row r="167">
      <c r="C167" s="9"/>
    </row>
    <row r="168">
      <c r="C168" s="9"/>
    </row>
    <row r="169">
      <c r="C169" s="9"/>
    </row>
    <row r="170">
      <c r="C170" s="9"/>
    </row>
    <row r="171">
      <c r="C171" s="9"/>
    </row>
    <row r="172">
      <c r="C172" s="9"/>
    </row>
    <row r="173">
      <c r="C173" s="9"/>
    </row>
    <row r="174">
      <c r="C174" s="9"/>
    </row>
    <row r="175">
      <c r="C175" s="9"/>
    </row>
    <row r="176">
      <c r="C176" s="9"/>
    </row>
    <row r="177">
      <c r="C177" s="9"/>
    </row>
    <row r="178">
      <c r="C178" s="9"/>
    </row>
    <row r="179">
      <c r="C179" s="9"/>
    </row>
    <row r="180">
      <c r="C180" s="9"/>
    </row>
    <row r="181">
      <c r="C181" s="9"/>
    </row>
    <row r="182">
      <c r="C182" s="9"/>
    </row>
    <row r="183">
      <c r="C183" s="9"/>
    </row>
    <row r="184">
      <c r="C184" s="9"/>
    </row>
    <row r="185">
      <c r="C185" s="9"/>
    </row>
    <row r="186">
      <c r="C186" s="9"/>
    </row>
    <row r="187">
      <c r="C187" s="9"/>
    </row>
    <row r="188">
      <c r="C188" s="9"/>
    </row>
    <row r="189">
      <c r="C189" s="9"/>
    </row>
    <row r="190">
      <c r="C190" s="9"/>
    </row>
    <row r="191">
      <c r="C191" s="9"/>
    </row>
    <row r="192">
      <c r="C192" s="9"/>
    </row>
    <row r="193">
      <c r="C193" s="9"/>
    </row>
    <row r="194">
      <c r="C194" s="9"/>
    </row>
    <row r="195">
      <c r="C195" s="9"/>
    </row>
    <row r="196">
      <c r="C196" s="9"/>
    </row>
    <row r="197">
      <c r="C197" s="9"/>
    </row>
    <row r="198">
      <c r="C198" s="9"/>
    </row>
    <row r="199">
      <c r="C199" s="9"/>
    </row>
    <row r="200">
      <c r="C200" s="9"/>
    </row>
    <row r="201">
      <c r="C201" s="9"/>
    </row>
    <row r="202">
      <c r="C202" s="9"/>
    </row>
    <row r="203">
      <c r="C203" s="9"/>
    </row>
    <row r="204">
      <c r="C204" s="9"/>
    </row>
    <row r="205">
      <c r="C205" s="9"/>
    </row>
    <row r="206">
      <c r="C206" s="9"/>
    </row>
    <row r="207">
      <c r="C207" s="9"/>
    </row>
    <row r="208">
      <c r="C208" s="9"/>
    </row>
    <row r="209">
      <c r="C209" s="9"/>
    </row>
    <row r="210">
      <c r="C210" s="9"/>
    </row>
    <row r="211">
      <c r="C211" s="9"/>
    </row>
    <row r="212">
      <c r="C212" s="9"/>
    </row>
    <row r="213">
      <c r="C213" s="9"/>
    </row>
    <row r="214">
      <c r="C214" s="9"/>
    </row>
    <row r="215">
      <c r="C215" s="9"/>
    </row>
    <row r="216">
      <c r="C216" s="9"/>
    </row>
    <row r="217">
      <c r="C217" s="9"/>
    </row>
    <row r="218">
      <c r="C218" s="9"/>
    </row>
    <row r="219">
      <c r="C219" s="9"/>
    </row>
    <row r="220">
      <c r="C220" s="9"/>
    </row>
    <row r="221">
      <c r="C221" s="9"/>
    </row>
    <row r="222">
      <c r="C222" s="9"/>
    </row>
    <row r="223">
      <c r="C223" s="9"/>
    </row>
    <row r="224">
      <c r="C224" s="9"/>
    </row>
    <row r="225">
      <c r="C225" s="9"/>
    </row>
    <row r="226">
      <c r="C226" s="9"/>
    </row>
    <row r="227">
      <c r="C227" s="9"/>
    </row>
    <row r="228">
      <c r="C228" s="9"/>
    </row>
    <row r="229">
      <c r="C229" s="9"/>
    </row>
    <row r="230">
      <c r="C230" s="9"/>
    </row>
    <row r="231">
      <c r="C231" s="9"/>
    </row>
    <row r="232">
      <c r="C232" s="9"/>
    </row>
    <row r="233">
      <c r="C233" s="9"/>
    </row>
    <row r="234">
      <c r="C234" s="9"/>
    </row>
    <row r="235">
      <c r="C235" s="9"/>
    </row>
    <row r="236">
      <c r="C236" s="9"/>
    </row>
    <row r="237">
      <c r="C237" s="9"/>
    </row>
    <row r="238">
      <c r="C238" s="9"/>
    </row>
    <row r="239">
      <c r="C239" s="9"/>
    </row>
    <row r="240">
      <c r="C240" s="9"/>
    </row>
    <row r="241">
      <c r="C241" s="9"/>
    </row>
    <row r="242">
      <c r="C242" s="9"/>
    </row>
    <row r="243">
      <c r="C243" s="9"/>
    </row>
    <row r="244">
      <c r="C244" s="9"/>
    </row>
    <row r="245">
      <c r="C245" s="9"/>
    </row>
    <row r="246">
      <c r="C246" s="9"/>
    </row>
    <row r="247">
      <c r="C247" s="9"/>
    </row>
    <row r="248">
      <c r="C248" s="9"/>
    </row>
    <row r="249">
      <c r="C249" s="9"/>
    </row>
    <row r="250">
      <c r="C250" s="9"/>
    </row>
    <row r="251">
      <c r="C251" s="9"/>
    </row>
    <row r="252">
      <c r="C252" s="9"/>
    </row>
    <row r="253">
      <c r="C253" s="9"/>
    </row>
    <row r="254">
      <c r="C254" s="9"/>
    </row>
    <row r="255">
      <c r="C255" s="9"/>
    </row>
    <row r="256">
      <c r="C256" s="9"/>
    </row>
    <row r="257">
      <c r="C257" s="9"/>
    </row>
    <row r="258">
      <c r="C258" s="9"/>
    </row>
    <row r="259">
      <c r="C259" s="9"/>
    </row>
    <row r="260">
      <c r="C260" s="9"/>
    </row>
    <row r="261">
      <c r="C261" s="9"/>
    </row>
    <row r="262">
      <c r="C262" s="9"/>
    </row>
    <row r="263">
      <c r="C263" s="9"/>
    </row>
    <row r="264">
      <c r="C264" s="9"/>
    </row>
    <row r="265">
      <c r="C265" s="9"/>
    </row>
    <row r="266">
      <c r="C266" s="9"/>
    </row>
    <row r="267">
      <c r="C267" s="9"/>
    </row>
    <row r="268">
      <c r="C268" s="9"/>
    </row>
    <row r="269">
      <c r="C269" s="9"/>
    </row>
    <row r="270">
      <c r="C270" s="9"/>
    </row>
    <row r="271">
      <c r="C271" s="9"/>
    </row>
    <row r="272">
      <c r="C272" s="9"/>
    </row>
    <row r="273">
      <c r="C273" s="9"/>
    </row>
    <row r="274">
      <c r="C274" s="9"/>
    </row>
    <row r="275">
      <c r="C275" s="9"/>
    </row>
    <row r="276">
      <c r="C276" s="9"/>
    </row>
    <row r="277">
      <c r="C277" s="9"/>
    </row>
    <row r="278">
      <c r="C278" s="9"/>
    </row>
    <row r="279">
      <c r="C279" s="9"/>
    </row>
    <row r="280">
      <c r="C280" s="9"/>
    </row>
    <row r="281">
      <c r="C281" s="9"/>
    </row>
    <row r="282">
      <c r="C282" s="9"/>
    </row>
    <row r="283">
      <c r="C283" s="9"/>
    </row>
    <row r="284">
      <c r="C284" s="9"/>
    </row>
    <row r="285">
      <c r="C285" s="9"/>
    </row>
    <row r="286">
      <c r="C286" s="9"/>
    </row>
    <row r="287">
      <c r="C287" s="9"/>
    </row>
    <row r="288">
      <c r="C288" s="9"/>
    </row>
    <row r="289">
      <c r="C289" s="9"/>
    </row>
    <row r="290">
      <c r="C290" s="9"/>
    </row>
    <row r="291">
      <c r="C291" s="9"/>
    </row>
    <row r="292">
      <c r="C292" s="9"/>
    </row>
    <row r="293">
      <c r="C293" s="9"/>
    </row>
    <row r="294">
      <c r="C294" s="9"/>
    </row>
    <row r="295">
      <c r="C295" s="9"/>
    </row>
    <row r="296">
      <c r="C296" s="9"/>
    </row>
    <row r="297">
      <c r="C297" s="9"/>
    </row>
    <row r="298">
      <c r="C298" s="9"/>
    </row>
    <row r="299">
      <c r="C299" s="9"/>
    </row>
    <row r="300">
      <c r="C300" s="9"/>
    </row>
    <row r="301">
      <c r="C301" s="9"/>
    </row>
    <row r="302">
      <c r="C302" s="9"/>
    </row>
    <row r="303">
      <c r="C303" s="9"/>
    </row>
    <row r="304">
      <c r="C304" s="9"/>
    </row>
    <row r="305">
      <c r="C305" s="9"/>
    </row>
    <row r="306">
      <c r="C306" s="9"/>
    </row>
    <row r="307">
      <c r="C307" s="9"/>
    </row>
    <row r="308">
      <c r="C308" s="9"/>
    </row>
    <row r="309">
      <c r="C309" s="9"/>
    </row>
    <row r="310">
      <c r="C310" s="9"/>
    </row>
    <row r="311">
      <c r="C311" s="9"/>
    </row>
    <row r="312">
      <c r="C312" s="9"/>
    </row>
    <row r="313">
      <c r="C313" s="9"/>
    </row>
    <row r="314">
      <c r="C314" s="9"/>
    </row>
    <row r="315">
      <c r="C315" s="9"/>
    </row>
    <row r="316">
      <c r="C316" s="9"/>
    </row>
    <row r="317">
      <c r="C317" s="9"/>
    </row>
    <row r="318">
      <c r="C318" s="9"/>
    </row>
    <row r="319">
      <c r="C319" s="9"/>
    </row>
    <row r="320">
      <c r="C320" s="9"/>
    </row>
    <row r="321">
      <c r="C321" s="9"/>
    </row>
    <row r="322">
      <c r="C322" s="9"/>
    </row>
    <row r="323">
      <c r="C323" s="9"/>
    </row>
    <row r="324">
      <c r="C324" s="9"/>
    </row>
    <row r="325">
      <c r="C325" s="9"/>
    </row>
    <row r="326">
      <c r="C326" s="9"/>
    </row>
    <row r="327">
      <c r="C327" s="9"/>
    </row>
    <row r="328">
      <c r="C328" s="9"/>
    </row>
    <row r="329">
      <c r="C329" s="9"/>
    </row>
    <row r="330">
      <c r="C330" s="9"/>
    </row>
    <row r="331">
      <c r="C331" s="9"/>
    </row>
    <row r="332">
      <c r="C332" s="9"/>
    </row>
    <row r="333">
      <c r="C333" s="9"/>
    </row>
    <row r="334">
      <c r="C334" s="9"/>
    </row>
    <row r="335">
      <c r="C335" s="9"/>
    </row>
    <row r="336">
      <c r="C336" s="9"/>
    </row>
    <row r="337">
      <c r="C337" s="9"/>
    </row>
    <row r="338">
      <c r="C338" s="9"/>
    </row>
    <row r="339">
      <c r="C339" s="9"/>
    </row>
    <row r="340">
      <c r="C340" s="9"/>
    </row>
    <row r="341">
      <c r="C341" s="9"/>
    </row>
    <row r="342">
      <c r="C342" s="9"/>
    </row>
    <row r="343">
      <c r="C343" s="9"/>
    </row>
    <row r="344">
      <c r="C344" s="9"/>
    </row>
    <row r="345">
      <c r="C345" s="9"/>
    </row>
    <row r="346">
      <c r="C346" s="9"/>
    </row>
    <row r="347">
      <c r="C347" s="9"/>
    </row>
    <row r="348">
      <c r="C348" s="9"/>
    </row>
    <row r="349">
      <c r="C349" s="9"/>
    </row>
    <row r="350">
      <c r="C350" s="9"/>
    </row>
    <row r="351">
      <c r="C351" s="9"/>
    </row>
    <row r="352">
      <c r="C352" s="9"/>
    </row>
    <row r="353">
      <c r="C353" s="9"/>
    </row>
    <row r="354">
      <c r="C354" s="9"/>
    </row>
    <row r="355">
      <c r="C355" s="9"/>
    </row>
    <row r="356">
      <c r="C356" s="9"/>
    </row>
    <row r="357">
      <c r="C357" s="9"/>
    </row>
    <row r="358">
      <c r="C358" s="9"/>
    </row>
    <row r="359">
      <c r="C359" s="9"/>
    </row>
    <row r="360">
      <c r="C360" s="9"/>
    </row>
    <row r="361">
      <c r="C361" s="9"/>
    </row>
    <row r="362">
      <c r="C362" s="9"/>
    </row>
    <row r="363">
      <c r="C363" s="9"/>
    </row>
    <row r="364">
      <c r="C364" s="9"/>
    </row>
    <row r="365">
      <c r="C365" s="9"/>
    </row>
    <row r="366">
      <c r="C366" s="9"/>
    </row>
    <row r="367">
      <c r="C367" s="9"/>
    </row>
    <row r="368">
      <c r="C368" s="9"/>
    </row>
    <row r="369">
      <c r="C369" s="9"/>
    </row>
    <row r="370">
      <c r="C370" s="9"/>
    </row>
    <row r="371">
      <c r="C371" s="9"/>
    </row>
    <row r="372">
      <c r="C372" s="9"/>
    </row>
    <row r="373">
      <c r="C373" s="9"/>
    </row>
    <row r="374">
      <c r="C374" s="9"/>
    </row>
    <row r="375">
      <c r="C375" s="9"/>
    </row>
    <row r="376">
      <c r="C376" s="9"/>
    </row>
    <row r="377">
      <c r="C377" s="9"/>
    </row>
    <row r="378">
      <c r="C378" s="9"/>
    </row>
    <row r="379">
      <c r="C379" s="9"/>
    </row>
    <row r="380">
      <c r="C380" s="9"/>
    </row>
    <row r="381">
      <c r="C381" s="9"/>
    </row>
    <row r="382">
      <c r="C382" s="9"/>
    </row>
    <row r="383">
      <c r="C383" s="9"/>
    </row>
    <row r="384">
      <c r="C384" s="9"/>
    </row>
    <row r="385">
      <c r="C385" s="9"/>
    </row>
    <row r="386">
      <c r="C386" s="9"/>
    </row>
    <row r="387">
      <c r="C387" s="9"/>
    </row>
    <row r="388">
      <c r="C388" s="9"/>
    </row>
    <row r="389">
      <c r="C389" s="9"/>
    </row>
    <row r="390">
      <c r="C390" s="9"/>
    </row>
    <row r="391">
      <c r="C391" s="9"/>
    </row>
    <row r="392">
      <c r="C392" s="9"/>
    </row>
    <row r="393">
      <c r="C393" s="9"/>
    </row>
    <row r="394">
      <c r="C394" s="9"/>
    </row>
    <row r="395">
      <c r="C395" s="9"/>
    </row>
    <row r="396">
      <c r="C396" s="9"/>
    </row>
    <row r="397">
      <c r="C397" s="9"/>
    </row>
    <row r="398">
      <c r="C398" s="9"/>
    </row>
    <row r="399">
      <c r="C399" s="9"/>
    </row>
    <row r="400">
      <c r="C400" s="9"/>
    </row>
    <row r="401">
      <c r="C401" s="9"/>
    </row>
    <row r="402">
      <c r="C402" s="9"/>
    </row>
    <row r="403">
      <c r="C403" s="9"/>
    </row>
    <row r="404">
      <c r="C404" s="9"/>
    </row>
    <row r="405">
      <c r="C405" s="9"/>
    </row>
    <row r="406">
      <c r="C406" s="9"/>
    </row>
    <row r="407">
      <c r="C407" s="9"/>
    </row>
    <row r="408">
      <c r="C408" s="9"/>
    </row>
    <row r="409">
      <c r="C409" s="9"/>
    </row>
    <row r="410">
      <c r="C410" s="9"/>
    </row>
    <row r="411">
      <c r="C411" s="9"/>
    </row>
    <row r="412">
      <c r="C412" s="9"/>
    </row>
    <row r="413">
      <c r="C413" s="9"/>
    </row>
    <row r="414">
      <c r="C414" s="9"/>
    </row>
    <row r="415">
      <c r="C415" s="9"/>
    </row>
    <row r="416">
      <c r="C416" s="9"/>
    </row>
    <row r="417">
      <c r="C417" s="9"/>
    </row>
    <row r="418">
      <c r="C418" s="9"/>
    </row>
    <row r="419">
      <c r="C419" s="9"/>
    </row>
    <row r="420">
      <c r="C420" s="9"/>
    </row>
    <row r="421">
      <c r="C421" s="9"/>
    </row>
    <row r="422">
      <c r="C422" s="9"/>
    </row>
    <row r="423">
      <c r="C423" s="9"/>
    </row>
    <row r="424">
      <c r="C424" s="9"/>
    </row>
    <row r="425">
      <c r="C425" s="9"/>
    </row>
    <row r="426">
      <c r="C426" s="9"/>
    </row>
    <row r="427">
      <c r="C427" s="9"/>
    </row>
    <row r="428">
      <c r="C428" s="9"/>
    </row>
    <row r="429">
      <c r="C429" s="9"/>
    </row>
    <row r="430">
      <c r="C430" s="9"/>
    </row>
    <row r="431">
      <c r="C431" s="9"/>
    </row>
    <row r="432">
      <c r="C432" s="9"/>
    </row>
    <row r="433">
      <c r="C433" s="9"/>
    </row>
    <row r="434">
      <c r="C434" s="9"/>
    </row>
    <row r="435">
      <c r="C435" s="9"/>
    </row>
    <row r="436">
      <c r="C436" s="9"/>
    </row>
    <row r="437">
      <c r="C437" s="9"/>
    </row>
    <row r="438">
      <c r="C438" s="9"/>
    </row>
    <row r="439">
      <c r="C439" s="9"/>
    </row>
    <row r="440">
      <c r="C440" s="9"/>
    </row>
    <row r="441">
      <c r="C441" s="9"/>
    </row>
    <row r="442">
      <c r="C442" s="9"/>
    </row>
    <row r="443">
      <c r="C443" s="9"/>
    </row>
    <row r="444">
      <c r="C444" s="9"/>
    </row>
    <row r="445">
      <c r="C445" s="9"/>
    </row>
    <row r="446">
      <c r="C446" s="9"/>
    </row>
    <row r="447">
      <c r="C447" s="9"/>
    </row>
    <row r="448">
      <c r="C448" s="9"/>
    </row>
    <row r="449">
      <c r="C449" s="9"/>
    </row>
    <row r="450">
      <c r="C450" s="9"/>
    </row>
    <row r="451">
      <c r="C451" s="9"/>
    </row>
    <row r="452">
      <c r="C452" s="9"/>
    </row>
    <row r="453">
      <c r="C453" s="9"/>
    </row>
    <row r="454">
      <c r="C454" s="9"/>
    </row>
    <row r="455">
      <c r="C455" s="9"/>
    </row>
    <row r="456">
      <c r="C456" s="9"/>
    </row>
    <row r="457">
      <c r="C457" s="9"/>
    </row>
    <row r="458">
      <c r="C458" s="9"/>
    </row>
    <row r="459">
      <c r="C459" s="9"/>
    </row>
    <row r="460">
      <c r="C460" s="9"/>
    </row>
    <row r="461">
      <c r="C461" s="9"/>
    </row>
    <row r="462">
      <c r="C462" s="9"/>
    </row>
    <row r="463">
      <c r="C463" s="9"/>
    </row>
    <row r="464">
      <c r="C464" s="9"/>
    </row>
    <row r="465">
      <c r="C465" s="9"/>
    </row>
    <row r="466">
      <c r="C466" s="9"/>
    </row>
    <row r="467">
      <c r="C467" s="9"/>
    </row>
    <row r="468">
      <c r="C468" s="9"/>
    </row>
    <row r="469">
      <c r="C469" s="9"/>
    </row>
    <row r="470">
      <c r="C470" s="9"/>
    </row>
    <row r="471">
      <c r="C471" s="9"/>
    </row>
    <row r="472">
      <c r="C472" s="9"/>
    </row>
    <row r="473">
      <c r="C473" s="9"/>
    </row>
    <row r="474">
      <c r="C474" s="9"/>
    </row>
    <row r="475">
      <c r="C475" s="9"/>
    </row>
    <row r="476">
      <c r="C476" s="9"/>
    </row>
    <row r="477">
      <c r="C477" s="9"/>
    </row>
    <row r="478">
      <c r="C478" s="9"/>
    </row>
    <row r="479">
      <c r="C479" s="9"/>
    </row>
    <row r="480">
      <c r="C480" s="9"/>
    </row>
    <row r="481">
      <c r="C481" s="9"/>
    </row>
    <row r="482">
      <c r="C482" s="9"/>
    </row>
    <row r="483">
      <c r="C483" s="9"/>
    </row>
    <row r="484">
      <c r="C484" s="9"/>
    </row>
    <row r="485">
      <c r="C485" s="9"/>
    </row>
    <row r="486">
      <c r="C486" s="9"/>
    </row>
    <row r="487">
      <c r="C487" s="9"/>
    </row>
    <row r="488">
      <c r="C488" s="9"/>
    </row>
    <row r="489">
      <c r="C489" s="9"/>
    </row>
    <row r="490">
      <c r="C490" s="9"/>
    </row>
    <row r="491">
      <c r="C491" s="9"/>
    </row>
    <row r="492">
      <c r="C492" s="9"/>
    </row>
    <row r="493">
      <c r="C493" s="9"/>
    </row>
    <row r="494">
      <c r="C494" s="9"/>
    </row>
    <row r="495">
      <c r="C495" s="9"/>
    </row>
    <row r="496">
      <c r="C496" s="9"/>
    </row>
    <row r="497">
      <c r="C497" s="9"/>
    </row>
    <row r="498">
      <c r="C498" s="9"/>
    </row>
    <row r="499">
      <c r="C499" s="9"/>
    </row>
    <row r="500">
      <c r="C500" s="9"/>
    </row>
    <row r="501">
      <c r="C501" s="9"/>
    </row>
    <row r="502">
      <c r="C502" s="9"/>
    </row>
    <row r="503">
      <c r="C503" s="9"/>
    </row>
    <row r="504">
      <c r="C504" s="9"/>
    </row>
    <row r="505">
      <c r="C505" s="9"/>
    </row>
    <row r="506">
      <c r="C506" s="9"/>
    </row>
    <row r="507">
      <c r="C507" s="9"/>
    </row>
    <row r="508">
      <c r="C508" s="9"/>
    </row>
    <row r="509">
      <c r="C509" s="9"/>
    </row>
    <row r="510">
      <c r="C510" s="9"/>
    </row>
    <row r="511">
      <c r="C511" s="9"/>
    </row>
    <row r="512">
      <c r="C512" s="9"/>
    </row>
    <row r="513">
      <c r="C513" s="9"/>
    </row>
    <row r="514">
      <c r="C514" s="9"/>
    </row>
    <row r="515">
      <c r="C515" s="9"/>
    </row>
    <row r="516">
      <c r="C516" s="9"/>
    </row>
    <row r="517">
      <c r="C517" s="9"/>
    </row>
    <row r="518">
      <c r="C518" s="9"/>
    </row>
    <row r="519">
      <c r="C519" s="9"/>
    </row>
    <row r="520">
      <c r="C520" s="9"/>
    </row>
    <row r="521">
      <c r="C521" s="9"/>
    </row>
    <row r="522">
      <c r="C522" s="9"/>
    </row>
    <row r="523">
      <c r="C523" s="9"/>
    </row>
    <row r="524">
      <c r="C524" s="9"/>
    </row>
    <row r="525">
      <c r="C525" s="9"/>
    </row>
    <row r="526">
      <c r="C526" s="9"/>
    </row>
    <row r="527">
      <c r="C527" s="9"/>
    </row>
    <row r="528">
      <c r="C528" s="9"/>
    </row>
    <row r="529">
      <c r="C529" s="9"/>
    </row>
    <row r="530">
      <c r="C530" s="9"/>
    </row>
    <row r="531">
      <c r="C531" s="9"/>
    </row>
    <row r="532">
      <c r="C532" s="9"/>
    </row>
    <row r="533">
      <c r="C533" s="9"/>
    </row>
    <row r="534">
      <c r="C534" s="9"/>
    </row>
    <row r="535">
      <c r="C535" s="9"/>
    </row>
    <row r="536">
      <c r="C536" s="9"/>
    </row>
    <row r="537">
      <c r="C537" s="9"/>
    </row>
    <row r="538">
      <c r="C538" s="9"/>
    </row>
    <row r="539">
      <c r="C539" s="9"/>
    </row>
    <row r="540">
      <c r="C540" s="9"/>
    </row>
    <row r="541">
      <c r="C541" s="9"/>
    </row>
    <row r="542">
      <c r="C542" s="9"/>
    </row>
    <row r="543">
      <c r="C543" s="9"/>
    </row>
    <row r="544">
      <c r="C544" s="9"/>
    </row>
    <row r="545">
      <c r="C545" s="9"/>
    </row>
    <row r="546">
      <c r="C546" s="9"/>
    </row>
    <row r="547">
      <c r="C547" s="9"/>
    </row>
    <row r="548">
      <c r="C548" s="9"/>
    </row>
    <row r="549">
      <c r="C549" s="9"/>
    </row>
    <row r="550">
      <c r="C550" s="9"/>
    </row>
    <row r="551">
      <c r="C551" s="9"/>
    </row>
    <row r="552">
      <c r="C552" s="9"/>
    </row>
    <row r="553">
      <c r="C553" s="9"/>
    </row>
    <row r="554">
      <c r="C554" s="9"/>
    </row>
    <row r="555">
      <c r="C555" s="9"/>
    </row>
    <row r="556">
      <c r="C556" s="9"/>
    </row>
    <row r="557">
      <c r="C557" s="9"/>
    </row>
    <row r="558">
      <c r="C558" s="9"/>
    </row>
    <row r="559">
      <c r="C559" s="9"/>
    </row>
    <row r="560">
      <c r="C560" s="9"/>
    </row>
    <row r="561">
      <c r="C561" s="9"/>
    </row>
    <row r="562">
      <c r="C562" s="9"/>
    </row>
    <row r="563">
      <c r="C563" s="9"/>
    </row>
    <row r="564">
      <c r="C564" s="9"/>
    </row>
    <row r="565">
      <c r="C565" s="9"/>
    </row>
    <row r="566">
      <c r="C566" s="9"/>
    </row>
    <row r="567">
      <c r="C567" s="9"/>
    </row>
    <row r="568">
      <c r="C568" s="9"/>
    </row>
    <row r="569">
      <c r="C569" s="9"/>
    </row>
    <row r="570">
      <c r="C570" s="9"/>
    </row>
    <row r="571">
      <c r="C571" s="9"/>
    </row>
    <row r="572">
      <c r="C572" s="9"/>
    </row>
    <row r="573">
      <c r="C573" s="9"/>
    </row>
    <row r="574">
      <c r="C574" s="9"/>
    </row>
    <row r="575">
      <c r="C575" s="9"/>
    </row>
    <row r="576">
      <c r="C576" s="9"/>
    </row>
    <row r="577">
      <c r="C577" s="9"/>
    </row>
    <row r="578">
      <c r="C578" s="9"/>
    </row>
    <row r="579">
      <c r="C579" s="9"/>
    </row>
    <row r="580">
      <c r="C580" s="9"/>
    </row>
    <row r="581">
      <c r="C581" s="9"/>
    </row>
    <row r="582">
      <c r="C582" s="9"/>
    </row>
    <row r="583">
      <c r="C583" s="9"/>
    </row>
    <row r="584">
      <c r="C584" s="9"/>
    </row>
    <row r="585">
      <c r="C585" s="9"/>
    </row>
    <row r="586">
      <c r="C586" s="9"/>
    </row>
    <row r="587">
      <c r="C587" s="9"/>
    </row>
    <row r="588">
      <c r="C588" s="9"/>
    </row>
    <row r="589">
      <c r="C589" s="9"/>
    </row>
    <row r="590">
      <c r="C590" s="9"/>
    </row>
    <row r="591">
      <c r="C591" s="9"/>
    </row>
    <row r="592">
      <c r="C592" s="9"/>
    </row>
    <row r="593">
      <c r="C593" s="9"/>
    </row>
    <row r="594">
      <c r="C594" s="9"/>
    </row>
    <row r="595">
      <c r="C595" s="9"/>
    </row>
    <row r="596">
      <c r="C596" s="9"/>
    </row>
    <row r="597">
      <c r="C597" s="9"/>
    </row>
    <row r="598">
      <c r="C598" s="9"/>
    </row>
    <row r="599">
      <c r="C599" s="9"/>
    </row>
    <row r="600">
      <c r="C600" s="9"/>
    </row>
    <row r="601">
      <c r="C601" s="9"/>
    </row>
    <row r="602">
      <c r="C602" s="9"/>
    </row>
    <row r="603">
      <c r="C603" s="9"/>
    </row>
    <row r="604">
      <c r="C604" s="9"/>
    </row>
    <row r="605">
      <c r="C605" s="9"/>
    </row>
    <row r="606">
      <c r="C606" s="9"/>
    </row>
    <row r="607">
      <c r="C607" s="9"/>
    </row>
    <row r="608">
      <c r="C608" s="9"/>
    </row>
    <row r="609">
      <c r="C609" s="9"/>
    </row>
    <row r="610">
      <c r="C610" s="9"/>
    </row>
    <row r="611">
      <c r="C611" s="9"/>
    </row>
    <row r="612">
      <c r="C612" s="9"/>
    </row>
    <row r="613">
      <c r="C613" s="9"/>
    </row>
    <row r="614">
      <c r="C614" s="9"/>
    </row>
    <row r="615">
      <c r="C615" s="9"/>
    </row>
    <row r="616">
      <c r="C616" s="9"/>
    </row>
    <row r="617">
      <c r="C617" s="9"/>
    </row>
    <row r="618">
      <c r="C618" s="9"/>
    </row>
    <row r="619">
      <c r="C619" s="9"/>
    </row>
    <row r="620">
      <c r="C620" s="9"/>
    </row>
    <row r="621">
      <c r="C621" s="9"/>
    </row>
    <row r="622">
      <c r="C622" s="9"/>
    </row>
    <row r="623">
      <c r="C623" s="9"/>
    </row>
    <row r="624">
      <c r="C624" s="9"/>
    </row>
    <row r="625">
      <c r="C625" s="9"/>
    </row>
    <row r="626">
      <c r="C626" s="9"/>
    </row>
    <row r="627">
      <c r="C627" s="9"/>
    </row>
    <row r="628">
      <c r="C628" s="9"/>
    </row>
    <row r="629">
      <c r="C629" s="9"/>
    </row>
    <row r="630">
      <c r="C630" s="9"/>
    </row>
    <row r="631">
      <c r="C631" s="9"/>
    </row>
    <row r="632">
      <c r="C632" s="9"/>
    </row>
    <row r="633">
      <c r="C633" s="9"/>
    </row>
    <row r="634">
      <c r="C634" s="9"/>
    </row>
    <row r="635">
      <c r="C635" s="9"/>
    </row>
    <row r="636">
      <c r="C636" s="9"/>
    </row>
    <row r="637">
      <c r="C637" s="9"/>
    </row>
    <row r="638">
      <c r="C638" s="9"/>
    </row>
    <row r="639">
      <c r="C639" s="9"/>
    </row>
    <row r="640">
      <c r="C640" s="9"/>
    </row>
    <row r="641">
      <c r="C641" s="9"/>
    </row>
    <row r="642">
      <c r="C642" s="9"/>
    </row>
    <row r="643">
      <c r="C643" s="9"/>
    </row>
    <row r="644">
      <c r="C644" s="9"/>
    </row>
    <row r="645">
      <c r="C645" s="9"/>
    </row>
    <row r="646">
      <c r="C646" s="9"/>
    </row>
    <row r="647">
      <c r="C647" s="9"/>
    </row>
    <row r="648">
      <c r="C648" s="9"/>
    </row>
    <row r="649">
      <c r="C649" s="9"/>
    </row>
    <row r="650">
      <c r="C650" s="9"/>
    </row>
    <row r="651">
      <c r="C651" s="9"/>
    </row>
    <row r="652">
      <c r="C652" s="9"/>
    </row>
    <row r="653">
      <c r="C653" s="9"/>
    </row>
    <row r="654">
      <c r="C654" s="9"/>
    </row>
    <row r="655">
      <c r="C655" s="9"/>
    </row>
    <row r="656">
      <c r="C656" s="9"/>
    </row>
    <row r="657">
      <c r="C657" s="9"/>
    </row>
    <row r="658">
      <c r="C658" s="9"/>
    </row>
    <row r="659">
      <c r="C659" s="9"/>
    </row>
    <row r="660">
      <c r="C660" s="9"/>
    </row>
    <row r="661">
      <c r="C661" s="9"/>
    </row>
    <row r="662">
      <c r="C662" s="9"/>
    </row>
    <row r="663">
      <c r="C663" s="9"/>
    </row>
    <row r="664">
      <c r="C664" s="9"/>
    </row>
    <row r="665">
      <c r="C665" s="9"/>
    </row>
    <row r="666">
      <c r="C666" s="9"/>
    </row>
    <row r="667">
      <c r="C667" s="9"/>
    </row>
    <row r="668">
      <c r="C668" s="9"/>
    </row>
    <row r="669">
      <c r="C669" s="9"/>
    </row>
    <row r="670">
      <c r="C670" s="9"/>
    </row>
    <row r="671">
      <c r="C671" s="9"/>
    </row>
    <row r="672">
      <c r="C672" s="9"/>
    </row>
    <row r="673">
      <c r="C673" s="9"/>
    </row>
    <row r="674">
      <c r="C674" s="9"/>
    </row>
    <row r="675">
      <c r="C675" s="9"/>
    </row>
    <row r="676">
      <c r="C676" s="9"/>
    </row>
    <row r="677">
      <c r="C677" s="9"/>
    </row>
    <row r="678">
      <c r="C678" s="9"/>
    </row>
    <row r="679">
      <c r="C679" s="9"/>
    </row>
    <row r="680">
      <c r="C680" s="9"/>
    </row>
    <row r="681">
      <c r="C681" s="9"/>
    </row>
    <row r="682">
      <c r="C682" s="9"/>
    </row>
    <row r="683">
      <c r="C683" s="9"/>
    </row>
    <row r="684">
      <c r="C684" s="9"/>
    </row>
    <row r="685">
      <c r="C685" s="9"/>
    </row>
    <row r="686">
      <c r="C686" s="9"/>
    </row>
    <row r="687">
      <c r="C687" s="9"/>
    </row>
    <row r="688">
      <c r="C688" s="9"/>
    </row>
    <row r="689">
      <c r="C689" s="9"/>
    </row>
    <row r="690">
      <c r="C690" s="9"/>
    </row>
    <row r="691">
      <c r="C691" s="9"/>
    </row>
    <row r="692">
      <c r="C692" s="9"/>
    </row>
    <row r="693">
      <c r="C693" s="9"/>
    </row>
    <row r="694">
      <c r="C694" s="9"/>
    </row>
    <row r="695">
      <c r="C695" s="9"/>
    </row>
    <row r="696">
      <c r="C696" s="9"/>
    </row>
    <row r="697">
      <c r="C697" s="9"/>
    </row>
    <row r="698">
      <c r="C698" s="9"/>
    </row>
    <row r="699">
      <c r="C699" s="9"/>
    </row>
    <row r="700">
      <c r="C700" s="9"/>
    </row>
    <row r="701">
      <c r="C701" s="9"/>
    </row>
    <row r="702">
      <c r="C702" s="9"/>
    </row>
    <row r="703">
      <c r="C703" s="9"/>
    </row>
    <row r="704">
      <c r="C704" s="9"/>
    </row>
    <row r="705">
      <c r="C705" s="9"/>
    </row>
    <row r="706">
      <c r="C706" s="9"/>
    </row>
    <row r="707">
      <c r="C707" s="9"/>
    </row>
    <row r="708">
      <c r="C708" s="9"/>
    </row>
    <row r="709">
      <c r="C709" s="9"/>
    </row>
    <row r="710">
      <c r="C710" s="9"/>
    </row>
    <row r="711">
      <c r="C711" s="9"/>
    </row>
    <row r="712">
      <c r="C712" s="9"/>
    </row>
    <row r="713">
      <c r="C713" s="9"/>
    </row>
    <row r="714">
      <c r="C714" s="9"/>
    </row>
    <row r="715">
      <c r="C715" s="9"/>
    </row>
    <row r="716">
      <c r="C716" s="9"/>
    </row>
    <row r="717">
      <c r="C717" s="9"/>
    </row>
    <row r="718">
      <c r="C718" s="9"/>
    </row>
    <row r="719">
      <c r="C719" s="9"/>
    </row>
    <row r="720">
      <c r="C720" s="9"/>
    </row>
    <row r="721">
      <c r="C721" s="9"/>
    </row>
    <row r="722">
      <c r="C722" s="9"/>
    </row>
    <row r="723">
      <c r="C723" s="9"/>
    </row>
    <row r="724">
      <c r="C724" s="9"/>
    </row>
    <row r="725">
      <c r="C725" s="9"/>
    </row>
    <row r="726">
      <c r="C726" s="9"/>
    </row>
    <row r="727">
      <c r="C727" s="9"/>
    </row>
    <row r="728">
      <c r="C728" s="9"/>
    </row>
    <row r="729">
      <c r="C729" s="9"/>
    </row>
    <row r="730">
      <c r="C730" s="9"/>
    </row>
    <row r="731">
      <c r="C731" s="9"/>
    </row>
    <row r="732">
      <c r="C732" s="9"/>
    </row>
    <row r="733">
      <c r="C733" s="9"/>
    </row>
    <row r="734">
      <c r="C734" s="9"/>
    </row>
    <row r="735">
      <c r="C735" s="9"/>
    </row>
    <row r="736">
      <c r="C736" s="9"/>
    </row>
    <row r="737">
      <c r="C737" s="9"/>
    </row>
    <row r="738">
      <c r="C738" s="9"/>
    </row>
    <row r="739">
      <c r="C739" s="9"/>
    </row>
    <row r="740">
      <c r="C740" s="9"/>
    </row>
    <row r="741">
      <c r="C741" s="9"/>
    </row>
    <row r="742">
      <c r="C742" s="9"/>
    </row>
    <row r="743">
      <c r="C743" s="9"/>
    </row>
    <row r="744">
      <c r="C744" s="9"/>
    </row>
    <row r="745">
      <c r="C745" s="9"/>
    </row>
    <row r="746">
      <c r="C746" s="9"/>
    </row>
    <row r="747">
      <c r="C747" s="9"/>
    </row>
    <row r="748">
      <c r="C748" s="9"/>
    </row>
    <row r="749">
      <c r="C749" s="9"/>
    </row>
    <row r="750">
      <c r="C750" s="9"/>
    </row>
    <row r="751">
      <c r="C751" s="9"/>
    </row>
    <row r="752">
      <c r="C752" s="9"/>
    </row>
    <row r="753">
      <c r="C753" s="9"/>
    </row>
    <row r="754">
      <c r="C754" s="9"/>
    </row>
    <row r="755">
      <c r="C755" s="9"/>
    </row>
    <row r="756">
      <c r="C756" s="9"/>
    </row>
    <row r="757">
      <c r="C757" s="9"/>
    </row>
    <row r="758">
      <c r="C758" s="9"/>
    </row>
    <row r="759">
      <c r="C759" s="9"/>
    </row>
    <row r="760">
      <c r="C760" s="9"/>
    </row>
    <row r="761">
      <c r="C761" s="9"/>
    </row>
    <row r="762">
      <c r="C762" s="9"/>
    </row>
    <row r="763">
      <c r="C763" s="9"/>
    </row>
    <row r="764">
      <c r="C764" s="9"/>
    </row>
    <row r="765">
      <c r="C765" s="9"/>
    </row>
    <row r="766">
      <c r="C766" s="9"/>
    </row>
    <row r="767">
      <c r="C767" s="9"/>
    </row>
    <row r="768">
      <c r="C768" s="9"/>
    </row>
    <row r="769">
      <c r="C769" s="9"/>
    </row>
    <row r="770">
      <c r="C770" s="9"/>
    </row>
    <row r="771">
      <c r="C771" s="9"/>
    </row>
    <row r="772">
      <c r="C772" s="9"/>
    </row>
    <row r="773">
      <c r="C773" s="9"/>
    </row>
    <row r="774">
      <c r="C774" s="9"/>
    </row>
    <row r="775">
      <c r="C775" s="9"/>
    </row>
    <row r="776">
      <c r="C776" s="9"/>
    </row>
    <row r="777">
      <c r="C777" s="9"/>
    </row>
    <row r="778">
      <c r="C778" s="9"/>
    </row>
    <row r="779">
      <c r="C779" s="9"/>
    </row>
    <row r="780">
      <c r="C780" s="9"/>
    </row>
    <row r="781">
      <c r="C781" s="9"/>
    </row>
    <row r="782">
      <c r="C782" s="9"/>
    </row>
    <row r="783">
      <c r="C783" s="9"/>
    </row>
    <row r="784">
      <c r="C784" s="9"/>
    </row>
    <row r="785">
      <c r="C785" s="9"/>
    </row>
    <row r="786">
      <c r="C786" s="9"/>
    </row>
    <row r="787">
      <c r="C787" s="9"/>
    </row>
    <row r="788">
      <c r="C788" s="9"/>
    </row>
    <row r="789">
      <c r="C789" s="9"/>
    </row>
    <row r="790">
      <c r="C790" s="9"/>
    </row>
    <row r="791">
      <c r="C791" s="9"/>
    </row>
    <row r="792">
      <c r="C792" s="9"/>
    </row>
    <row r="793">
      <c r="C793" s="9"/>
    </row>
    <row r="794">
      <c r="C794" s="9"/>
    </row>
    <row r="795">
      <c r="C795" s="9"/>
    </row>
    <row r="796">
      <c r="C796" s="9"/>
    </row>
    <row r="797">
      <c r="C797" s="9"/>
    </row>
    <row r="798">
      <c r="C798" s="9"/>
    </row>
    <row r="799">
      <c r="C799" s="9"/>
    </row>
    <row r="800">
      <c r="C800" s="9"/>
    </row>
    <row r="801">
      <c r="C801" s="9"/>
    </row>
    <row r="802">
      <c r="C802" s="9"/>
    </row>
    <row r="803">
      <c r="C803" s="9"/>
    </row>
    <row r="804">
      <c r="C804" s="9"/>
    </row>
    <row r="805">
      <c r="C805" s="9"/>
    </row>
    <row r="806">
      <c r="C806" s="9"/>
    </row>
    <row r="807">
      <c r="C807" s="9"/>
    </row>
    <row r="808">
      <c r="C808" s="9"/>
    </row>
    <row r="809">
      <c r="C809" s="9"/>
    </row>
    <row r="810">
      <c r="C810" s="9"/>
    </row>
    <row r="811">
      <c r="C811" s="9"/>
    </row>
    <row r="812">
      <c r="C812" s="9"/>
    </row>
    <row r="813">
      <c r="C813" s="9"/>
    </row>
    <row r="814">
      <c r="C814" s="9"/>
    </row>
    <row r="815">
      <c r="C815" s="9"/>
    </row>
    <row r="816">
      <c r="C816" s="9"/>
    </row>
    <row r="817">
      <c r="C817" s="9"/>
    </row>
    <row r="818">
      <c r="C818" s="9"/>
    </row>
    <row r="819">
      <c r="C819" s="9"/>
    </row>
    <row r="820">
      <c r="C820" s="9"/>
    </row>
    <row r="821">
      <c r="C821" s="9"/>
    </row>
    <row r="822">
      <c r="C822" s="9"/>
    </row>
    <row r="823">
      <c r="C823" s="9"/>
    </row>
    <row r="824">
      <c r="C824" s="9"/>
    </row>
    <row r="825">
      <c r="C825" s="9"/>
    </row>
    <row r="826">
      <c r="C826" s="9"/>
    </row>
    <row r="827">
      <c r="C827" s="9"/>
    </row>
    <row r="828">
      <c r="C828" s="9"/>
    </row>
    <row r="829">
      <c r="C829" s="9"/>
    </row>
    <row r="830">
      <c r="C830" s="9"/>
    </row>
    <row r="831">
      <c r="C831" s="9"/>
    </row>
    <row r="832">
      <c r="C832" s="9"/>
    </row>
    <row r="833">
      <c r="C833" s="9"/>
    </row>
    <row r="834">
      <c r="C834" s="9"/>
    </row>
    <row r="835">
      <c r="C835" s="9"/>
    </row>
    <row r="836">
      <c r="C836" s="9"/>
    </row>
    <row r="837">
      <c r="C837" s="9"/>
    </row>
    <row r="838">
      <c r="C838" s="9"/>
    </row>
    <row r="839">
      <c r="C839" s="9"/>
    </row>
    <row r="840">
      <c r="C840" s="9"/>
    </row>
    <row r="841">
      <c r="C841" s="9"/>
    </row>
    <row r="842">
      <c r="C842" s="9"/>
    </row>
    <row r="843">
      <c r="C843" s="9"/>
    </row>
    <row r="844">
      <c r="C844" s="9"/>
    </row>
    <row r="845">
      <c r="C845" s="9"/>
    </row>
    <row r="846">
      <c r="C846" s="9"/>
    </row>
    <row r="847">
      <c r="C847" s="9"/>
    </row>
    <row r="848">
      <c r="C848" s="9"/>
    </row>
    <row r="849">
      <c r="C849" s="9"/>
    </row>
    <row r="850">
      <c r="C850" s="9"/>
    </row>
    <row r="851">
      <c r="C851" s="9"/>
    </row>
    <row r="852">
      <c r="C852" s="9"/>
    </row>
    <row r="853">
      <c r="C853" s="9"/>
    </row>
    <row r="854">
      <c r="C854" s="9"/>
    </row>
    <row r="855">
      <c r="C855" s="9"/>
    </row>
    <row r="856">
      <c r="C856" s="9"/>
    </row>
    <row r="857">
      <c r="C857" s="9"/>
    </row>
    <row r="858">
      <c r="C858" s="9"/>
    </row>
    <row r="859">
      <c r="C859" s="9"/>
    </row>
    <row r="860">
      <c r="C860" s="9"/>
    </row>
    <row r="861">
      <c r="C861" s="9"/>
    </row>
    <row r="862">
      <c r="C862" s="9"/>
    </row>
    <row r="863">
      <c r="C863" s="9"/>
    </row>
    <row r="864">
      <c r="C864" s="9"/>
    </row>
    <row r="865">
      <c r="C865" s="9"/>
    </row>
    <row r="866">
      <c r="C866" s="9"/>
    </row>
    <row r="867">
      <c r="C867" s="9"/>
    </row>
    <row r="868">
      <c r="C868" s="9"/>
    </row>
    <row r="869">
      <c r="C869" s="9"/>
    </row>
    <row r="870">
      <c r="C870" s="9"/>
    </row>
    <row r="871">
      <c r="C871" s="9"/>
    </row>
    <row r="872">
      <c r="C872" s="9"/>
    </row>
    <row r="873">
      <c r="C873" s="9"/>
    </row>
    <row r="874">
      <c r="C874" s="9"/>
    </row>
    <row r="875">
      <c r="C875" s="9"/>
    </row>
    <row r="876">
      <c r="C876" s="9"/>
    </row>
    <row r="877">
      <c r="C877" s="9"/>
    </row>
    <row r="878">
      <c r="C878" s="9"/>
    </row>
    <row r="879">
      <c r="C879" s="9"/>
    </row>
    <row r="880">
      <c r="C880" s="9"/>
    </row>
    <row r="881">
      <c r="C881" s="9"/>
    </row>
    <row r="882">
      <c r="C882" s="9"/>
    </row>
    <row r="883">
      <c r="C883" s="9"/>
    </row>
    <row r="884">
      <c r="C884" s="9"/>
    </row>
    <row r="885">
      <c r="C885" s="9"/>
    </row>
    <row r="886">
      <c r="C886" s="9"/>
    </row>
    <row r="887">
      <c r="C887" s="9"/>
    </row>
    <row r="888">
      <c r="C888" s="9"/>
    </row>
    <row r="889">
      <c r="C889" s="9"/>
    </row>
    <row r="890">
      <c r="C890" s="9"/>
    </row>
    <row r="891">
      <c r="C891" s="9"/>
    </row>
    <row r="892">
      <c r="C892" s="9"/>
    </row>
    <row r="893">
      <c r="C893" s="9"/>
    </row>
    <row r="894">
      <c r="C894" s="9"/>
    </row>
    <row r="895">
      <c r="C895" s="9"/>
    </row>
    <row r="896">
      <c r="C896" s="9"/>
    </row>
    <row r="897">
      <c r="C897" s="9"/>
    </row>
    <row r="898">
      <c r="C898" s="9"/>
    </row>
    <row r="899">
      <c r="C899" s="9"/>
    </row>
    <row r="900">
      <c r="C900" s="9"/>
    </row>
    <row r="901">
      <c r="C901" s="9"/>
    </row>
    <row r="902">
      <c r="C902" s="9"/>
    </row>
    <row r="903">
      <c r="C903" s="9"/>
    </row>
    <row r="904">
      <c r="C904" s="9"/>
    </row>
    <row r="905">
      <c r="C905" s="9"/>
    </row>
    <row r="906">
      <c r="C906" s="9"/>
    </row>
    <row r="907">
      <c r="C907" s="9"/>
    </row>
    <row r="908">
      <c r="C908" s="9"/>
    </row>
    <row r="909">
      <c r="C909" s="9"/>
    </row>
    <row r="910">
      <c r="C910" s="9"/>
    </row>
    <row r="911">
      <c r="C911" s="9"/>
    </row>
    <row r="912">
      <c r="C912" s="9"/>
    </row>
    <row r="913">
      <c r="C913" s="9"/>
    </row>
    <row r="914">
      <c r="C914" s="9"/>
    </row>
    <row r="915">
      <c r="C915" s="9"/>
    </row>
    <row r="916">
      <c r="C916" s="9"/>
    </row>
    <row r="917">
      <c r="C917" s="9"/>
    </row>
    <row r="918">
      <c r="C918" s="9"/>
    </row>
    <row r="919">
      <c r="C919" s="9"/>
    </row>
    <row r="920">
      <c r="C920" s="9"/>
    </row>
    <row r="921">
      <c r="C921" s="9"/>
    </row>
    <row r="922">
      <c r="C922" s="9"/>
    </row>
    <row r="923">
      <c r="C923" s="9"/>
    </row>
    <row r="924">
      <c r="C924" s="9"/>
    </row>
    <row r="925">
      <c r="C925" s="9"/>
    </row>
    <row r="926">
      <c r="C926" s="9"/>
    </row>
    <row r="927">
      <c r="C927" s="9"/>
    </row>
    <row r="928">
      <c r="C928" s="9"/>
    </row>
    <row r="929">
      <c r="C929" s="9"/>
    </row>
    <row r="930">
      <c r="C930" s="9"/>
    </row>
    <row r="931">
      <c r="C931" s="9"/>
    </row>
    <row r="932">
      <c r="C932" s="9"/>
    </row>
    <row r="933">
      <c r="C933" s="9"/>
    </row>
    <row r="934">
      <c r="C934" s="9"/>
    </row>
    <row r="935">
      <c r="C935" s="9"/>
    </row>
    <row r="936">
      <c r="C936" s="9"/>
    </row>
    <row r="937">
      <c r="C937" s="9"/>
    </row>
    <row r="938">
      <c r="C938" s="9"/>
    </row>
    <row r="939">
      <c r="C939" s="9"/>
    </row>
    <row r="940">
      <c r="C940" s="9"/>
    </row>
    <row r="941">
      <c r="C941" s="9"/>
    </row>
    <row r="942">
      <c r="C942" s="9"/>
    </row>
    <row r="943">
      <c r="C943" s="9"/>
    </row>
    <row r="944">
      <c r="C944" s="9"/>
    </row>
    <row r="945">
      <c r="C945" s="9"/>
    </row>
    <row r="946">
      <c r="C946" s="9"/>
    </row>
    <row r="947">
      <c r="C947" s="9"/>
    </row>
    <row r="948">
      <c r="C948" s="9"/>
    </row>
    <row r="949">
      <c r="C949" s="9"/>
    </row>
    <row r="950">
      <c r="C950" s="9"/>
    </row>
    <row r="951">
      <c r="C951" s="9"/>
    </row>
    <row r="952">
      <c r="C952" s="9"/>
    </row>
    <row r="953">
      <c r="C953" s="9"/>
    </row>
    <row r="954">
      <c r="C954" s="9"/>
    </row>
    <row r="955">
      <c r="C955" s="9"/>
    </row>
    <row r="956">
      <c r="C956" s="9"/>
    </row>
    <row r="957">
      <c r="C957" s="9"/>
    </row>
    <row r="958">
      <c r="C958" s="9"/>
    </row>
    <row r="959">
      <c r="C959" s="9"/>
    </row>
    <row r="960">
      <c r="C960" s="9"/>
    </row>
    <row r="961">
      <c r="C961" s="9"/>
    </row>
    <row r="962">
      <c r="C962" s="9"/>
    </row>
    <row r="963">
      <c r="C963" s="9"/>
    </row>
    <row r="964">
      <c r="C964" s="9"/>
    </row>
    <row r="965">
      <c r="C965" s="9"/>
    </row>
    <row r="966">
      <c r="C966" s="9"/>
    </row>
    <row r="967">
      <c r="C967" s="9"/>
    </row>
    <row r="968">
      <c r="C968" s="9"/>
    </row>
    <row r="969">
      <c r="C969" s="9"/>
    </row>
    <row r="970">
      <c r="C970" s="9"/>
    </row>
    <row r="971">
      <c r="C971" s="9"/>
    </row>
    <row r="972">
      <c r="C972" s="9"/>
    </row>
    <row r="973">
      <c r="C973" s="9"/>
    </row>
    <row r="974">
      <c r="C974" s="9"/>
    </row>
    <row r="975">
      <c r="C975" s="9"/>
    </row>
    <row r="976">
      <c r="C976" s="9"/>
    </row>
    <row r="977">
      <c r="C977" s="9"/>
    </row>
    <row r="978">
      <c r="C978" s="9"/>
    </row>
    <row r="979">
      <c r="C979" s="9"/>
    </row>
    <row r="980">
      <c r="C980" s="9"/>
    </row>
    <row r="981">
      <c r="C981" s="9"/>
    </row>
    <row r="982">
      <c r="C982" s="9"/>
    </row>
    <row r="983">
      <c r="C983" s="9"/>
    </row>
    <row r="984">
      <c r="C984" s="9"/>
    </row>
    <row r="985">
      <c r="C985" s="9"/>
    </row>
    <row r="986">
      <c r="C986" s="9"/>
    </row>
    <row r="987">
      <c r="C987" s="9"/>
    </row>
    <row r="988">
      <c r="C988" s="9"/>
    </row>
    <row r="989">
      <c r="C989" s="9"/>
    </row>
    <row r="990">
      <c r="C990" s="9"/>
    </row>
    <row r="991">
      <c r="C991" s="9"/>
    </row>
    <row r="992">
      <c r="C992" s="9"/>
    </row>
    <row r="993">
      <c r="C993" s="9"/>
    </row>
    <row r="994">
      <c r="C994" s="9"/>
    </row>
    <row r="995">
      <c r="C995" s="9"/>
    </row>
    <row r="996">
      <c r="C996" s="9"/>
    </row>
    <row r="997">
      <c r="C997" s="9"/>
    </row>
    <row r="998">
      <c r="C998" s="9"/>
    </row>
    <row r="999">
      <c r="C999" s="9"/>
    </row>
    <row r="1000">
      <c r="C1000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12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>
      <c r="A2" s="1">
        <v>0.0</v>
      </c>
      <c r="B2" s="1" t="s">
        <v>27</v>
      </c>
      <c r="C2" s="1">
        <v>327027.0</v>
      </c>
      <c r="D2" s="1">
        <v>192325.0</v>
      </c>
      <c r="E2" s="1">
        <v>75155.0</v>
      </c>
      <c r="F2" s="1">
        <v>52692.0</v>
      </c>
      <c r="G2" s="1">
        <v>43722.0</v>
      </c>
      <c r="H2" s="1">
        <v>27805.0</v>
      </c>
    </row>
    <row r="3">
      <c r="A3" s="1">
        <v>1.0</v>
      </c>
      <c r="B3" s="1" t="s">
        <v>28</v>
      </c>
      <c r="C3" s="1">
        <v>145844.0</v>
      </c>
      <c r="D3" s="1">
        <v>68906.0</v>
      </c>
      <c r="E3" s="1">
        <v>19798.0</v>
      </c>
      <c r="F3" s="1">
        <v>11792.0</v>
      </c>
      <c r="G3" s="1">
        <v>8336.0</v>
      </c>
      <c r="H3" s="1">
        <v>4508.0</v>
      </c>
    </row>
    <row r="8">
      <c r="A8" s="1" t="s">
        <v>29</v>
      </c>
      <c r="B8" s="1" t="s">
        <v>30</v>
      </c>
    </row>
    <row r="9">
      <c r="A9" s="1" t="s">
        <v>17</v>
      </c>
      <c r="B9" s="9">
        <v>327027.0</v>
      </c>
    </row>
    <row r="10">
      <c r="A10" s="1" t="s">
        <v>18</v>
      </c>
      <c r="B10" s="9">
        <v>145844.0</v>
      </c>
    </row>
    <row r="16">
      <c r="A16" s="9"/>
    </row>
    <row r="36">
      <c r="A36" s="10" t="s">
        <v>12</v>
      </c>
      <c r="B36" s="10" t="s">
        <v>27</v>
      </c>
      <c r="C36" s="10" t="s">
        <v>31</v>
      </c>
      <c r="D36" s="10" t="s">
        <v>32</v>
      </c>
      <c r="E36" s="10" t="s">
        <v>33</v>
      </c>
      <c r="F36" s="1" t="s">
        <v>34</v>
      </c>
      <c r="G36" s="1" t="s">
        <v>35</v>
      </c>
      <c r="H36" s="1" t="s">
        <v>36</v>
      </c>
    </row>
    <row r="37">
      <c r="A37" s="11" t="s">
        <v>37</v>
      </c>
      <c r="B37" s="10">
        <v>327027.0</v>
      </c>
      <c r="C37" s="10">
        <v>0.0</v>
      </c>
      <c r="D37" s="11">
        <f t="shared" ref="D37:D42" si="1">B37</f>
        <v>327027</v>
      </c>
      <c r="E37" s="10">
        <v>0.0</v>
      </c>
      <c r="F37" s="8">
        <f t="shared" ref="F37:F42" si="2">D37/$D$37</f>
        <v>1</v>
      </c>
      <c r="G37" s="8">
        <f>D37/D37</f>
        <v>1</v>
      </c>
      <c r="H37" s="8" t="str">
        <f t="shared" ref="H37:H42" si="3">TEXT(D37/1000, "0.0") &amp; "k (CR prev = " &amp; TEXT(G37, "0.0%") &amp; ")"</f>
        <v>327.0k (CR prev = 100.0%)</v>
      </c>
    </row>
    <row r="38">
      <c r="A38" s="11" t="s">
        <v>38</v>
      </c>
      <c r="B38" s="10">
        <v>192325.0</v>
      </c>
      <c r="C38" s="11">
        <f t="shared" ref="C38:C42" si="4">($B$37-B38)/2</f>
        <v>67351</v>
      </c>
      <c r="D38" s="11">
        <f t="shared" si="1"/>
        <v>192325</v>
      </c>
      <c r="E38" s="11">
        <f t="shared" ref="E38:E42" si="5">C38</f>
        <v>67351</v>
      </c>
      <c r="F38" s="8">
        <f t="shared" si="2"/>
        <v>0.5881012883</v>
      </c>
      <c r="G38" s="8">
        <f t="shared" ref="G38:G42" si="6">D38/D37</f>
        <v>0.5881012883</v>
      </c>
      <c r="H38" s="8" t="str">
        <f t="shared" si="3"/>
        <v>192.3k (CR prev = 58.8%)</v>
      </c>
    </row>
    <row r="39">
      <c r="A39" s="11" t="s">
        <v>39</v>
      </c>
      <c r="B39" s="10">
        <v>75155.0</v>
      </c>
      <c r="C39" s="11">
        <f t="shared" si="4"/>
        <v>125936</v>
      </c>
      <c r="D39" s="11">
        <f t="shared" si="1"/>
        <v>75155</v>
      </c>
      <c r="E39" s="11">
        <f t="shared" si="5"/>
        <v>125936</v>
      </c>
      <c r="F39" s="8">
        <f t="shared" si="2"/>
        <v>0.2298128289</v>
      </c>
      <c r="G39" s="8">
        <f t="shared" si="6"/>
        <v>0.3907708306</v>
      </c>
      <c r="H39" s="8" t="str">
        <f t="shared" si="3"/>
        <v>75.2k (CR prev = 39.1%)</v>
      </c>
    </row>
    <row r="40">
      <c r="A40" s="11" t="s">
        <v>40</v>
      </c>
      <c r="B40" s="10">
        <v>52692.0</v>
      </c>
      <c r="C40" s="11">
        <f t="shared" si="4"/>
        <v>137167.5</v>
      </c>
      <c r="D40" s="11">
        <f t="shared" si="1"/>
        <v>52692</v>
      </c>
      <c r="E40" s="11">
        <f t="shared" si="5"/>
        <v>137167.5</v>
      </c>
      <c r="F40" s="8">
        <f t="shared" si="2"/>
        <v>0.1611243108</v>
      </c>
      <c r="G40" s="8">
        <f t="shared" si="6"/>
        <v>0.7011110372</v>
      </c>
      <c r="H40" s="8" t="str">
        <f t="shared" si="3"/>
        <v>52.7k (CR prev = 70.1%)</v>
      </c>
    </row>
    <row r="41">
      <c r="A41" s="11" t="s">
        <v>41</v>
      </c>
      <c r="B41" s="10">
        <v>43722.0</v>
      </c>
      <c r="C41" s="11">
        <f t="shared" si="4"/>
        <v>141652.5</v>
      </c>
      <c r="D41" s="11">
        <f t="shared" si="1"/>
        <v>43722</v>
      </c>
      <c r="E41" s="11">
        <f t="shared" si="5"/>
        <v>141652.5</v>
      </c>
      <c r="F41" s="8">
        <f t="shared" si="2"/>
        <v>0.133695383</v>
      </c>
      <c r="G41" s="8">
        <f t="shared" si="6"/>
        <v>0.8297654293</v>
      </c>
      <c r="H41" s="8" t="str">
        <f t="shared" si="3"/>
        <v>43.7k (CR prev = 83.0%)</v>
      </c>
    </row>
    <row r="42">
      <c r="A42" s="10" t="s">
        <v>42</v>
      </c>
      <c r="B42" s="10">
        <v>27805.0</v>
      </c>
      <c r="C42" s="11">
        <f t="shared" si="4"/>
        <v>149611</v>
      </c>
      <c r="D42" s="11">
        <f t="shared" si="1"/>
        <v>27805</v>
      </c>
      <c r="E42" s="11">
        <f t="shared" si="5"/>
        <v>149611</v>
      </c>
      <c r="F42" s="8">
        <f t="shared" si="2"/>
        <v>0.08502356075</v>
      </c>
      <c r="G42" s="8">
        <f t="shared" si="6"/>
        <v>0.6359498651</v>
      </c>
      <c r="H42" s="8" t="str">
        <f t="shared" si="3"/>
        <v>27.8k (CR prev = 63.6%)</v>
      </c>
    </row>
    <row r="43">
      <c r="A43" s="11"/>
      <c r="B43" s="11"/>
      <c r="C43" s="11"/>
      <c r="D43" s="11"/>
      <c r="E43" s="11"/>
    </row>
    <row r="44">
      <c r="A44" s="11"/>
      <c r="B44" s="11"/>
      <c r="C44" s="11"/>
      <c r="D44" s="11"/>
      <c r="E44" s="11"/>
    </row>
    <row r="45">
      <c r="A45" s="10" t="s">
        <v>12</v>
      </c>
      <c r="B45" s="10" t="s">
        <v>28</v>
      </c>
      <c r="C45" s="10" t="s">
        <v>31</v>
      </c>
      <c r="D45" s="10" t="s">
        <v>32</v>
      </c>
      <c r="E45" s="10" t="s">
        <v>33</v>
      </c>
      <c r="F45" s="1" t="s">
        <v>34</v>
      </c>
      <c r="G45" s="1" t="s">
        <v>35</v>
      </c>
      <c r="H45" s="1" t="s">
        <v>36</v>
      </c>
    </row>
    <row r="46">
      <c r="A46" s="11" t="s">
        <v>37</v>
      </c>
      <c r="B46" s="10">
        <v>145844.0</v>
      </c>
      <c r="C46" s="10">
        <v>0.0</v>
      </c>
      <c r="D46" s="11">
        <f t="shared" ref="D46:D51" si="7">B46</f>
        <v>145844</v>
      </c>
      <c r="E46" s="10">
        <v>0.0</v>
      </c>
      <c r="F46" s="8">
        <f t="shared" ref="F46:F51" si="8">D46/$D$46</f>
        <v>1</v>
      </c>
      <c r="G46" s="8">
        <f>D46/D46</f>
        <v>1</v>
      </c>
      <c r="H46" s="8" t="str">
        <f t="shared" ref="H46:H51" si="9">TEXT(D46/1000, "0.0") &amp; "k (CR prev = " &amp; TEXT(G46, "0.0%") &amp; ")"</f>
        <v>145.8k (CR prev = 100.0%)</v>
      </c>
    </row>
    <row r="47">
      <c r="A47" s="11" t="s">
        <v>38</v>
      </c>
      <c r="B47" s="10">
        <v>68906.0</v>
      </c>
      <c r="C47" s="11">
        <f t="shared" ref="C47:C51" si="10">($B$46-B47)/2</f>
        <v>38469</v>
      </c>
      <c r="D47" s="11">
        <f t="shared" si="7"/>
        <v>68906</v>
      </c>
      <c r="E47" s="11">
        <f t="shared" ref="E47:E51" si="11">C47</f>
        <v>38469</v>
      </c>
      <c r="F47" s="8">
        <f t="shared" si="8"/>
        <v>0.4724637284</v>
      </c>
      <c r="G47" s="8">
        <f t="shared" ref="G47:G51" si="12">D47/D46</f>
        <v>0.4724637284</v>
      </c>
      <c r="H47" s="8" t="str">
        <f t="shared" si="9"/>
        <v>68.9k (CR prev = 47.2%)</v>
      </c>
    </row>
    <row r="48">
      <c r="A48" s="11" t="s">
        <v>39</v>
      </c>
      <c r="B48" s="10">
        <v>19798.0</v>
      </c>
      <c r="C48" s="11">
        <f t="shared" si="10"/>
        <v>63023</v>
      </c>
      <c r="D48" s="11">
        <f t="shared" si="7"/>
        <v>19798</v>
      </c>
      <c r="E48" s="11">
        <f t="shared" si="11"/>
        <v>63023</v>
      </c>
      <c r="F48" s="8">
        <f t="shared" si="8"/>
        <v>0.1357477853</v>
      </c>
      <c r="G48" s="8">
        <f t="shared" si="12"/>
        <v>0.2873189563</v>
      </c>
      <c r="H48" s="8" t="str">
        <f t="shared" si="9"/>
        <v>19.8k (CR prev = 28.7%)</v>
      </c>
    </row>
    <row r="49">
      <c r="A49" s="11" t="s">
        <v>40</v>
      </c>
      <c r="B49" s="10">
        <v>11792.0</v>
      </c>
      <c r="C49" s="11">
        <f t="shared" si="10"/>
        <v>67026</v>
      </c>
      <c r="D49" s="11">
        <f t="shared" si="7"/>
        <v>11792</v>
      </c>
      <c r="E49" s="11">
        <f t="shared" si="11"/>
        <v>67026</v>
      </c>
      <c r="F49" s="8">
        <f t="shared" si="8"/>
        <v>0.08085351471</v>
      </c>
      <c r="G49" s="8">
        <f t="shared" si="12"/>
        <v>0.5956157188</v>
      </c>
      <c r="H49" s="8" t="str">
        <f t="shared" si="9"/>
        <v>11.8k (CR prev = 59.6%)</v>
      </c>
    </row>
    <row r="50">
      <c r="A50" s="11" t="s">
        <v>41</v>
      </c>
      <c r="B50" s="10">
        <v>8336.0</v>
      </c>
      <c r="C50" s="11">
        <f t="shared" si="10"/>
        <v>68754</v>
      </c>
      <c r="D50" s="11">
        <f t="shared" si="7"/>
        <v>8336</v>
      </c>
      <c r="E50" s="11">
        <f t="shared" si="11"/>
        <v>68754</v>
      </c>
      <c r="F50" s="8">
        <f t="shared" si="8"/>
        <v>0.05715696223</v>
      </c>
      <c r="G50" s="8">
        <f t="shared" si="12"/>
        <v>0.7069199457</v>
      </c>
      <c r="H50" s="8" t="str">
        <f t="shared" si="9"/>
        <v>8.3k (CR prev = 70.7%)</v>
      </c>
    </row>
    <row r="51">
      <c r="A51" s="10" t="s">
        <v>42</v>
      </c>
      <c r="B51" s="10">
        <v>4508.0</v>
      </c>
      <c r="C51" s="11">
        <f t="shared" si="10"/>
        <v>70668</v>
      </c>
      <c r="D51" s="11">
        <f t="shared" si="7"/>
        <v>4508</v>
      </c>
      <c r="E51" s="11">
        <f t="shared" si="11"/>
        <v>70668</v>
      </c>
      <c r="F51" s="8">
        <f t="shared" si="8"/>
        <v>0.03090973917</v>
      </c>
      <c r="G51" s="8">
        <f t="shared" si="12"/>
        <v>0.5407869482</v>
      </c>
      <c r="H51" s="8" t="str">
        <f t="shared" si="9"/>
        <v>4.5k (CR prev = 54.1%)</v>
      </c>
    </row>
    <row r="79">
      <c r="I79" s="1" t="s">
        <v>43</v>
      </c>
      <c r="M79" s="1" t="s">
        <v>44</v>
      </c>
    </row>
    <row r="80">
      <c r="A80" s="1" t="s">
        <v>45</v>
      </c>
      <c r="B80" s="1" t="s">
        <v>17</v>
      </c>
      <c r="C80" s="1" t="s">
        <v>39</v>
      </c>
      <c r="D80" s="1" t="s">
        <v>41</v>
      </c>
      <c r="E80" s="1" t="s">
        <v>46</v>
      </c>
      <c r="F80" s="1" t="s">
        <v>43</v>
      </c>
      <c r="G80" s="1" t="s">
        <v>44</v>
      </c>
      <c r="I80" s="1" t="s">
        <v>45</v>
      </c>
      <c r="J80" s="1" t="s">
        <v>17</v>
      </c>
      <c r="K80" s="1" t="s">
        <v>18</v>
      </c>
      <c r="M80" s="1" t="s">
        <v>45</v>
      </c>
      <c r="N80" s="1" t="s">
        <v>17</v>
      </c>
      <c r="O80" s="1" t="s">
        <v>18</v>
      </c>
    </row>
    <row r="81">
      <c r="A81" s="2">
        <v>40969.0</v>
      </c>
      <c r="B81" s="1">
        <v>523.0</v>
      </c>
      <c r="C81" s="1">
        <v>172.0</v>
      </c>
      <c r="D81" s="1">
        <v>104.0</v>
      </c>
      <c r="E81" s="1">
        <v>50.0</v>
      </c>
      <c r="F81" s="1">
        <v>67.112811</v>
      </c>
      <c r="G81" s="1">
        <v>51.923077</v>
      </c>
      <c r="I81" s="2">
        <v>40969.0</v>
      </c>
      <c r="J81" s="5">
        <f t="shared" ref="J81:J117" si="13">F81/100</f>
        <v>0.67112811</v>
      </c>
      <c r="K81" s="5">
        <f t="shared" ref="K81:K117" si="14">F121/100</f>
        <v>0.74545455</v>
      </c>
      <c r="M81" s="2">
        <v>40969.0</v>
      </c>
      <c r="N81" s="5">
        <f t="shared" ref="N81:N117" si="15">G81/100</f>
        <v>0.51923077</v>
      </c>
      <c r="O81" s="5">
        <f t="shared" ref="O81:O117" si="16">G121/100</f>
        <v>0.47368421</v>
      </c>
    </row>
    <row r="82">
      <c r="A82" s="2">
        <v>41000.0</v>
      </c>
      <c r="B82" s="1">
        <v>1032.0</v>
      </c>
      <c r="C82" s="1">
        <v>337.0</v>
      </c>
      <c r="D82" s="1">
        <v>196.0</v>
      </c>
      <c r="E82" s="1">
        <v>84.0</v>
      </c>
      <c r="F82" s="1">
        <v>67.344961</v>
      </c>
      <c r="G82" s="1">
        <v>57.142857</v>
      </c>
      <c r="I82" s="2">
        <v>41000.0</v>
      </c>
      <c r="J82" s="5">
        <f t="shared" si="13"/>
        <v>0.67344961</v>
      </c>
      <c r="K82" s="5">
        <f t="shared" si="14"/>
        <v>0.75903614</v>
      </c>
      <c r="M82" s="2">
        <v>41000.0</v>
      </c>
      <c r="N82" s="5">
        <f t="shared" si="15"/>
        <v>0.57142857</v>
      </c>
      <c r="O82" s="5">
        <f t="shared" si="16"/>
        <v>0.58333333</v>
      </c>
    </row>
    <row r="83">
      <c r="A83" s="2">
        <v>41030.0</v>
      </c>
      <c r="B83" s="1">
        <v>1205.0</v>
      </c>
      <c r="C83" s="1">
        <v>387.0</v>
      </c>
      <c r="D83" s="1">
        <v>218.0</v>
      </c>
      <c r="E83" s="1">
        <v>96.0</v>
      </c>
      <c r="F83" s="1">
        <v>67.883817</v>
      </c>
      <c r="G83" s="1">
        <v>55.963303</v>
      </c>
      <c r="I83" s="2">
        <v>41030.0</v>
      </c>
      <c r="J83" s="5">
        <f t="shared" si="13"/>
        <v>0.67883817</v>
      </c>
      <c r="K83" s="5">
        <f t="shared" si="14"/>
        <v>0.7651715</v>
      </c>
      <c r="M83" s="2">
        <v>41030.0</v>
      </c>
      <c r="N83" s="5">
        <f t="shared" si="15"/>
        <v>0.55963303</v>
      </c>
      <c r="O83" s="5">
        <f t="shared" si="16"/>
        <v>0.71428571</v>
      </c>
    </row>
    <row r="84">
      <c r="A84" s="2">
        <v>41061.0</v>
      </c>
      <c r="B84" s="1">
        <v>1443.0</v>
      </c>
      <c r="C84" s="1">
        <v>490.0</v>
      </c>
      <c r="D84" s="1">
        <v>290.0</v>
      </c>
      <c r="E84" s="1">
        <v>131.0</v>
      </c>
      <c r="F84" s="1">
        <v>66.042966</v>
      </c>
      <c r="G84" s="1">
        <v>54.827586</v>
      </c>
      <c r="I84" s="2">
        <v>41061.0</v>
      </c>
      <c r="J84" s="5">
        <f t="shared" si="13"/>
        <v>0.66042966</v>
      </c>
      <c r="K84" s="5">
        <f t="shared" si="14"/>
        <v>0.77346278</v>
      </c>
      <c r="M84" s="2">
        <v>41061.0</v>
      </c>
      <c r="N84" s="5">
        <f t="shared" si="15"/>
        <v>0.54827586</v>
      </c>
      <c r="O84" s="5">
        <f t="shared" si="16"/>
        <v>0.70967742</v>
      </c>
    </row>
    <row r="85">
      <c r="A85" s="2">
        <v>41091.0</v>
      </c>
      <c r="B85" s="1">
        <v>1615.0</v>
      </c>
      <c r="C85" s="1">
        <v>535.0</v>
      </c>
      <c r="D85" s="1">
        <v>317.0</v>
      </c>
      <c r="E85" s="1">
        <v>150.0</v>
      </c>
      <c r="F85" s="1">
        <v>66.873065</v>
      </c>
      <c r="G85" s="1">
        <v>52.681388</v>
      </c>
      <c r="I85" s="2">
        <v>41091.0</v>
      </c>
      <c r="J85" s="5">
        <f t="shared" si="13"/>
        <v>0.66873065</v>
      </c>
      <c r="K85" s="5">
        <f t="shared" si="14"/>
        <v>0.74689826</v>
      </c>
      <c r="M85" s="2">
        <v>41091.0</v>
      </c>
      <c r="N85" s="5">
        <f t="shared" si="15"/>
        <v>0.52681388</v>
      </c>
      <c r="O85" s="5">
        <f t="shared" si="16"/>
        <v>0.60416667</v>
      </c>
    </row>
    <row r="86">
      <c r="A86" s="2">
        <v>41122.0</v>
      </c>
      <c r="B86" s="1">
        <v>2459.0</v>
      </c>
      <c r="C86" s="1">
        <v>837.0</v>
      </c>
      <c r="D86" s="1">
        <v>473.0</v>
      </c>
      <c r="E86" s="1">
        <v>215.0</v>
      </c>
      <c r="F86" s="1">
        <v>65.961773</v>
      </c>
      <c r="G86" s="1">
        <v>54.545455</v>
      </c>
      <c r="I86" s="2">
        <v>41122.0</v>
      </c>
      <c r="J86" s="5">
        <f t="shared" si="13"/>
        <v>0.65961773</v>
      </c>
      <c r="K86" s="5">
        <f t="shared" si="14"/>
        <v>0.77757685</v>
      </c>
      <c r="M86" s="2">
        <v>41122.0</v>
      </c>
      <c r="N86" s="5">
        <f t="shared" si="15"/>
        <v>0.54545455</v>
      </c>
      <c r="O86" s="5">
        <f t="shared" si="16"/>
        <v>0.7173913</v>
      </c>
    </row>
    <row r="87">
      <c r="A87" s="2">
        <v>41153.0</v>
      </c>
      <c r="B87" s="1">
        <v>2556.0</v>
      </c>
      <c r="C87" s="1">
        <v>842.0</v>
      </c>
      <c r="D87" s="1">
        <v>481.0</v>
      </c>
      <c r="E87" s="1">
        <v>261.0</v>
      </c>
      <c r="F87" s="1">
        <v>67.057903</v>
      </c>
      <c r="G87" s="1">
        <v>45.738046</v>
      </c>
      <c r="I87" s="2">
        <v>41153.0</v>
      </c>
      <c r="J87" s="5">
        <f t="shared" si="13"/>
        <v>0.67057903</v>
      </c>
      <c r="K87" s="5">
        <f t="shared" si="14"/>
        <v>0.74912281</v>
      </c>
      <c r="M87" s="2">
        <v>41153.0</v>
      </c>
      <c r="N87" s="5">
        <f t="shared" si="15"/>
        <v>0.45738046</v>
      </c>
      <c r="O87" s="5">
        <f t="shared" si="16"/>
        <v>0.55172414</v>
      </c>
    </row>
    <row r="88">
      <c r="A88" s="3">
        <v>41183.0</v>
      </c>
      <c r="B88" s="1">
        <v>3294.0</v>
      </c>
      <c r="C88" s="1">
        <v>1070.0</v>
      </c>
      <c r="D88" s="1">
        <v>591.0</v>
      </c>
      <c r="E88" s="1">
        <v>337.0</v>
      </c>
      <c r="F88" s="1">
        <v>67.516697</v>
      </c>
      <c r="G88" s="1">
        <v>42.978003</v>
      </c>
      <c r="I88" s="3">
        <v>41183.0</v>
      </c>
      <c r="J88" s="5">
        <f t="shared" si="13"/>
        <v>0.67516697</v>
      </c>
      <c r="K88" s="5">
        <f t="shared" si="14"/>
        <v>0.74456522</v>
      </c>
      <c r="M88" s="3">
        <v>41183.0</v>
      </c>
      <c r="N88" s="5">
        <f t="shared" si="15"/>
        <v>0.42978003</v>
      </c>
      <c r="O88" s="5">
        <f t="shared" si="16"/>
        <v>0.64583333</v>
      </c>
    </row>
    <row r="89">
      <c r="A89" s="3">
        <v>41214.0</v>
      </c>
      <c r="B89" s="1">
        <v>5613.0</v>
      </c>
      <c r="C89" s="1">
        <v>1824.0</v>
      </c>
      <c r="D89" s="1">
        <v>1060.0</v>
      </c>
      <c r="E89" s="1">
        <v>563.0</v>
      </c>
      <c r="F89" s="1">
        <v>67.504009</v>
      </c>
      <c r="G89" s="1">
        <v>46.886792</v>
      </c>
      <c r="I89" s="3">
        <v>41214.0</v>
      </c>
      <c r="J89" s="5">
        <f t="shared" si="13"/>
        <v>0.67504009</v>
      </c>
      <c r="K89" s="5">
        <f t="shared" si="14"/>
        <v>0.76548673</v>
      </c>
      <c r="M89" s="3">
        <v>41214.0</v>
      </c>
      <c r="N89" s="5">
        <f t="shared" si="15"/>
        <v>0.46886792</v>
      </c>
      <c r="O89" s="5">
        <f t="shared" si="16"/>
        <v>0.53781513</v>
      </c>
    </row>
    <row r="90">
      <c r="A90" s="3">
        <v>41244.0</v>
      </c>
      <c r="B90" s="1">
        <v>4105.0</v>
      </c>
      <c r="C90" s="1">
        <v>1388.0</v>
      </c>
      <c r="D90" s="1">
        <v>840.0</v>
      </c>
      <c r="E90" s="1">
        <v>466.0</v>
      </c>
      <c r="F90" s="1">
        <v>66.187576</v>
      </c>
      <c r="G90" s="1">
        <v>44.52381</v>
      </c>
      <c r="I90" s="3">
        <v>41244.0</v>
      </c>
      <c r="J90" s="5">
        <f t="shared" si="13"/>
        <v>0.66187576</v>
      </c>
      <c r="K90" s="5">
        <f t="shared" si="14"/>
        <v>0.76101322</v>
      </c>
      <c r="M90" s="3">
        <v>41244.0</v>
      </c>
      <c r="N90" s="5">
        <f t="shared" si="15"/>
        <v>0.4452381</v>
      </c>
      <c r="O90" s="5">
        <f t="shared" si="16"/>
        <v>0.6039604</v>
      </c>
    </row>
    <row r="91">
      <c r="A91" s="2">
        <v>41275.0</v>
      </c>
      <c r="B91" s="1">
        <v>2694.0</v>
      </c>
      <c r="C91" s="1">
        <v>949.0</v>
      </c>
      <c r="D91" s="1">
        <v>542.0</v>
      </c>
      <c r="E91" s="1">
        <v>344.0</v>
      </c>
      <c r="F91" s="1">
        <v>64.773571</v>
      </c>
      <c r="G91" s="1">
        <v>36.531365</v>
      </c>
      <c r="I91" s="2">
        <v>41275.0</v>
      </c>
      <c r="J91" s="5">
        <f t="shared" si="13"/>
        <v>0.64773571</v>
      </c>
      <c r="K91" s="5">
        <f t="shared" si="14"/>
        <v>0.70991254</v>
      </c>
      <c r="M91" s="2">
        <v>41275.0</v>
      </c>
      <c r="N91" s="5">
        <f t="shared" si="15"/>
        <v>0.36531365</v>
      </c>
      <c r="O91" s="5">
        <f t="shared" si="16"/>
        <v>0.45882353</v>
      </c>
    </row>
    <row r="92">
      <c r="A92" s="2">
        <v>41306.0</v>
      </c>
      <c r="B92" s="1">
        <v>2949.0</v>
      </c>
      <c r="C92" s="1">
        <v>1142.0</v>
      </c>
      <c r="D92" s="1">
        <v>680.0</v>
      </c>
      <c r="E92" s="1">
        <v>440.0</v>
      </c>
      <c r="F92" s="1">
        <v>61.275008</v>
      </c>
      <c r="G92" s="1">
        <v>35.294118</v>
      </c>
      <c r="I92" s="2">
        <v>41306.0</v>
      </c>
      <c r="J92" s="5">
        <f t="shared" si="13"/>
        <v>0.61275008</v>
      </c>
      <c r="K92" s="5">
        <f t="shared" si="14"/>
        <v>0.7173913</v>
      </c>
      <c r="M92" s="2">
        <v>41306.0</v>
      </c>
      <c r="N92" s="5">
        <f t="shared" si="15"/>
        <v>0.35294118</v>
      </c>
      <c r="O92" s="5">
        <f t="shared" si="16"/>
        <v>0.4368932</v>
      </c>
    </row>
    <row r="93">
      <c r="A93" s="2">
        <v>41334.0</v>
      </c>
      <c r="B93" s="1">
        <v>2715.0</v>
      </c>
      <c r="C93" s="1">
        <v>956.0</v>
      </c>
      <c r="D93" s="1">
        <v>560.0</v>
      </c>
      <c r="E93" s="1">
        <v>348.0</v>
      </c>
      <c r="F93" s="1">
        <v>64.788214</v>
      </c>
      <c r="G93" s="1">
        <v>37.857143</v>
      </c>
      <c r="I93" s="2">
        <v>41334.0</v>
      </c>
      <c r="J93" s="5">
        <f t="shared" si="13"/>
        <v>0.64788214</v>
      </c>
      <c r="K93" s="5">
        <f t="shared" si="14"/>
        <v>0.75457317</v>
      </c>
      <c r="M93" s="2">
        <v>41334.0</v>
      </c>
      <c r="N93" s="5">
        <f t="shared" si="15"/>
        <v>0.37857143</v>
      </c>
      <c r="O93" s="5">
        <f t="shared" si="16"/>
        <v>0.421875</v>
      </c>
    </row>
    <row r="94">
      <c r="A94" s="2">
        <v>41365.0</v>
      </c>
      <c r="B94" s="1">
        <v>3537.0</v>
      </c>
      <c r="C94" s="1">
        <v>1310.0</v>
      </c>
      <c r="D94" s="1">
        <v>792.0</v>
      </c>
      <c r="E94" s="1">
        <v>502.0</v>
      </c>
      <c r="F94" s="1">
        <v>62.962963</v>
      </c>
      <c r="G94" s="1">
        <v>36.616162</v>
      </c>
      <c r="I94" s="2">
        <v>41365.0</v>
      </c>
      <c r="J94" s="5">
        <f t="shared" si="13"/>
        <v>0.62962963</v>
      </c>
      <c r="K94" s="5">
        <f t="shared" si="14"/>
        <v>0.73575758</v>
      </c>
      <c r="M94" s="2">
        <v>41365.0</v>
      </c>
      <c r="N94" s="5">
        <f t="shared" si="15"/>
        <v>0.36616162</v>
      </c>
      <c r="O94" s="5">
        <f t="shared" si="16"/>
        <v>0.46875</v>
      </c>
    </row>
    <row r="95">
      <c r="A95" s="2">
        <v>41395.0</v>
      </c>
      <c r="B95" s="1">
        <v>3841.0</v>
      </c>
      <c r="C95" s="1">
        <v>1380.0</v>
      </c>
      <c r="D95" s="1">
        <v>786.0</v>
      </c>
      <c r="E95" s="1">
        <v>508.0</v>
      </c>
      <c r="F95" s="1">
        <v>64.071856</v>
      </c>
      <c r="G95" s="1">
        <v>35.368957</v>
      </c>
      <c r="I95" s="2">
        <v>41395.0</v>
      </c>
      <c r="J95" s="5">
        <f t="shared" si="13"/>
        <v>0.64071856</v>
      </c>
      <c r="K95" s="5">
        <f t="shared" si="14"/>
        <v>0.72953737</v>
      </c>
      <c r="M95" s="2">
        <v>41395.0</v>
      </c>
      <c r="N95" s="5">
        <f t="shared" si="15"/>
        <v>0.35368957</v>
      </c>
      <c r="O95" s="5">
        <f t="shared" si="16"/>
        <v>0.4</v>
      </c>
    </row>
    <row r="96">
      <c r="A96" s="2">
        <v>41426.0</v>
      </c>
      <c r="B96" s="1">
        <v>3698.0</v>
      </c>
      <c r="C96" s="1">
        <v>1384.0</v>
      </c>
      <c r="D96" s="1">
        <v>825.0</v>
      </c>
      <c r="E96" s="1">
        <v>545.0</v>
      </c>
      <c r="F96" s="1">
        <v>62.574365</v>
      </c>
      <c r="G96" s="1">
        <v>33.939394</v>
      </c>
      <c r="I96" s="2">
        <v>41426.0</v>
      </c>
      <c r="J96" s="5">
        <f t="shared" si="13"/>
        <v>0.62574365</v>
      </c>
      <c r="K96" s="5">
        <f t="shared" si="14"/>
        <v>0.74279379</v>
      </c>
      <c r="M96" s="2">
        <v>41426.0</v>
      </c>
      <c r="N96" s="5">
        <f t="shared" si="15"/>
        <v>0.33939394</v>
      </c>
      <c r="O96" s="5">
        <f t="shared" si="16"/>
        <v>0.48387097</v>
      </c>
    </row>
    <row r="97">
      <c r="A97" s="2">
        <v>41456.0</v>
      </c>
      <c r="B97" s="1">
        <v>3941.0</v>
      </c>
      <c r="C97" s="1">
        <v>1432.0</v>
      </c>
      <c r="D97" s="1">
        <v>800.0</v>
      </c>
      <c r="E97" s="1">
        <v>520.0</v>
      </c>
      <c r="F97" s="1">
        <v>63.664045</v>
      </c>
      <c r="G97" s="1">
        <v>35.0</v>
      </c>
      <c r="I97" s="2">
        <v>41456.0</v>
      </c>
      <c r="J97" s="5">
        <f t="shared" si="13"/>
        <v>0.63664045</v>
      </c>
      <c r="K97" s="5">
        <f t="shared" si="14"/>
        <v>0.69230769</v>
      </c>
      <c r="M97" s="2">
        <v>41456.0</v>
      </c>
      <c r="N97" s="5">
        <f t="shared" si="15"/>
        <v>0.35</v>
      </c>
      <c r="O97" s="5">
        <f t="shared" si="16"/>
        <v>0.41666667</v>
      </c>
    </row>
    <row r="98">
      <c r="A98" s="2">
        <v>41487.0</v>
      </c>
      <c r="B98" s="1">
        <v>3838.0</v>
      </c>
      <c r="C98" s="1">
        <v>1389.0</v>
      </c>
      <c r="D98" s="1">
        <v>812.0</v>
      </c>
      <c r="E98" s="1">
        <v>526.0</v>
      </c>
      <c r="F98" s="1">
        <v>63.809276</v>
      </c>
      <c r="G98" s="1">
        <v>35.221675</v>
      </c>
      <c r="I98" s="2">
        <v>41487.0</v>
      </c>
      <c r="J98" s="5">
        <f t="shared" si="13"/>
        <v>0.63809276</v>
      </c>
      <c r="K98" s="5">
        <f t="shared" si="14"/>
        <v>0.71902017</v>
      </c>
      <c r="M98" s="2">
        <v>41487.0</v>
      </c>
      <c r="N98" s="5">
        <f t="shared" si="15"/>
        <v>0.35221675</v>
      </c>
      <c r="O98" s="5">
        <f t="shared" si="16"/>
        <v>0.46405229</v>
      </c>
    </row>
    <row r="99">
      <c r="A99" s="2">
        <v>41518.0</v>
      </c>
      <c r="B99" s="1">
        <v>3771.0</v>
      </c>
      <c r="C99" s="1">
        <v>1367.0</v>
      </c>
      <c r="D99" s="1">
        <v>785.0</v>
      </c>
      <c r="E99" s="1">
        <v>526.0</v>
      </c>
      <c r="F99" s="1">
        <v>63.749669</v>
      </c>
      <c r="G99" s="1">
        <v>32.993631</v>
      </c>
      <c r="I99" s="2">
        <v>41518.0</v>
      </c>
      <c r="J99" s="5">
        <f t="shared" si="13"/>
        <v>0.63749669</v>
      </c>
      <c r="K99" s="5">
        <f t="shared" si="14"/>
        <v>0.74262899</v>
      </c>
      <c r="M99" s="2">
        <v>41518.0</v>
      </c>
      <c r="N99" s="5">
        <f t="shared" si="15"/>
        <v>0.32993631</v>
      </c>
      <c r="O99" s="5">
        <f t="shared" si="16"/>
        <v>0.39766082</v>
      </c>
    </row>
    <row r="100">
      <c r="A100" s="3">
        <v>41548.0</v>
      </c>
      <c r="B100" s="1">
        <v>4239.0</v>
      </c>
      <c r="C100" s="1">
        <v>1559.0</v>
      </c>
      <c r="D100" s="1">
        <v>950.0</v>
      </c>
      <c r="E100" s="1">
        <v>607.0</v>
      </c>
      <c r="F100" s="1">
        <v>63.222458</v>
      </c>
      <c r="G100" s="1">
        <v>36.105263</v>
      </c>
      <c r="I100" s="3">
        <v>41548.0</v>
      </c>
      <c r="J100" s="5">
        <f t="shared" si="13"/>
        <v>0.63222458</v>
      </c>
      <c r="K100" s="5">
        <f t="shared" si="14"/>
        <v>0.72929405</v>
      </c>
      <c r="M100" s="3">
        <v>41548.0</v>
      </c>
      <c r="N100" s="5">
        <f t="shared" si="15"/>
        <v>0.36105263</v>
      </c>
      <c r="O100" s="5">
        <f t="shared" si="16"/>
        <v>0.47938144</v>
      </c>
    </row>
    <row r="101">
      <c r="A101" s="3">
        <v>41579.0</v>
      </c>
      <c r="B101" s="1">
        <v>5461.0</v>
      </c>
      <c r="C101" s="1">
        <v>1984.0</v>
      </c>
      <c r="D101" s="1">
        <v>1147.0</v>
      </c>
      <c r="E101" s="1">
        <v>711.0</v>
      </c>
      <c r="F101" s="1">
        <v>63.669658</v>
      </c>
      <c r="G101" s="1">
        <v>38.012206</v>
      </c>
      <c r="I101" s="3">
        <v>41579.0</v>
      </c>
      <c r="J101" s="5">
        <f t="shared" si="13"/>
        <v>0.63669658</v>
      </c>
      <c r="K101" s="5">
        <f t="shared" si="14"/>
        <v>0.72824742</v>
      </c>
      <c r="M101" s="3">
        <v>41579.0</v>
      </c>
      <c r="N101" s="5">
        <f t="shared" si="15"/>
        <v>0.38012206</v>
      </c>
      <c r="O101" s="5">
        <f t="shared" si="16"/>
        <v>0.47916667</v>
      </c>
    </row>
    <row r="102">
      <c r="A102" s="3">
        <v>41609.0</v>
      </c>
      <c r="B102" s="1">
        <v>6111.0</v>
      </c>
      <c r="C102" s="1">
        <v>2316.0</v>
      </c>
      <c r="D102" s="1">
        <v>1338.0</v>
      </c>
      <c r="E102" s="1">
        <v>854.0</v>
      </c>
      <c r="F102" s="1">
        <v>62.101129</v>
      </c>
      <c r="G102" s="1">
        <v>36.173393</v>
      </c>
      <c r="I102" s="3">
        <v>41609.0</v>
      </c>
      <c r="J102" s="5">
        <f t="shared" si="13"/>
        <v>0.62101129</v>
      </c>
      <c r="K102" s="5">
        <f t="shared" si="14"/>
        <v>0.69952364</v>
      </c>
      <c r="M102" s="3">
        <v>41609.0</v>
      </c>
      <c r="N102" s="5">
        <f t="shared" si="15"/>
        <v>0.36173393</v>
      </c>
      <c r="O102" s="5">
        <f t="shared" si="16"/>
        <v>0.46978022</v>
      </c>
    </row>
    <row r="103">
      <c r="A103" s="2">
        <v>41640.0</v>
      </c>
      <c r="B103" s="1">
        <v>5424.0</v>
      </c>
      <c r="C103" s="1">
        <v>2197.0</v>
      </c>
      <c r="D103" s="1">
        <v>1281.0</v>
      </c>
      <c r="E103" s="1">
        <v>825.0</v>
      </c>
      <c r="F103" s="1">
        <v>59.494838</v>
      </c>
      <c r="G103" s="1">
        <v>35.59719</v>
      </c>
      <c r="I103" s="2">
        <v>41640.0</v>
      </c>
      <c r="J103" s="5">
        <f t="shared" si="13"/>
        <v>0.59494838</v>
      </c>
      <c r="K103" s="5">
        <f t="shared" si="14"/>
        <v>0.7079459</v>
      </c>
      <c r="M103" s="2">
        <v>41640.0</v>
      </c>
      <c r="N103" s="5">
        <f t="shared" si="15"/>
        <v>0.3559719</v>
      </c>
      <c r="O103" s="5">
        <f t="shared" si="16"/>
        <v>0.43727599</v>
      </c>
    </row>
    <row r="104">
      <c r="A104" s="2">
        <v>41671.0</v>
      </c>
      <c r="B104" s="1">
        <v>5422.0</v>
      </c>
      <c r="C104" s="1">
        <v>2262.0</v>
      </c>
      <c r="D104" s="1">
        <v>1283.0</v>
      </c>
      <c r="E104" s="1">
        <v>840.0</v>
      </c>
      <c r="F104" s="1">
        <v>58.281077</v>
      </c>
      <c r="G104" s="1">
        <v>34.528449</v>
      </c>
      <c r="I104" s="2">
        <v>41671.0</v>
      </c>
      <c r="J104" s="5">
        <f t="shared" si="13"/>
        <v>0.58281077</v>
      </c>
      <c r="K104" s="5">
        <f t="shared" si="14"/>
        <v>0.7073651</v>
      </c>
      <c r="M104" s="2">
        <v>41671.0</v>
      </c>
      <c r="N104" s="5">
        <f t="shared" si="15"/>
        <v>0.34528449</v>
      </c>
      <c r="O104" s="5">
        <f t="shared" si="16"/>
        <v>0.44648318</v>
      </c>
    </row>
    <row r="105">
      <c r="A105" s="2">
        <v>41699.0</v>
      </c>
      <c r="B105" s="1">
        <v>5526.0</v>
      </c>
      <c r="C105" s="1">
        <v>2248.0</v>
      </c>
      <c r="D105" s="1">
        <v>1310.0</v>
      </c>
      <c r="E105" s="1">
        <v>898.0</v>
      </c>
      <c r="F105" s="1">
        <v>59.31958</v>
      </c>
      <c r="G105" s="1">
        <v>31.450382</v>
      </c>
      <c r="I105" s="2">
        <v>41699.0</v>
      </c>
      <c r="J105" s="5">
        <f t="shared" si="13"/>
        <v>0.5931958</v>
      </c>
      <c r="K105" s="5">
        <f t="shared" si="14"/>
        <v>0.71168731</v>
      </c>
      <c r="M105" s="2">
        <v>41699.0</v>
      </c>
      <c r="N105" s="5">
        <f t="shared" si="15"/>
        <v>0.31450382</v>
      </c>
      <c r="O105" s="5">
        <f t="shared" si="16"/>
        <v>0.46835443</v>
      </c>
    </row>
    <row r="106">
      <c r="A106" s="2">
        <v>41730.0</v>
      </c>
      <c r="B106" s="1">
        <v>6734.0</v>
      </c>
      <c r="C106" s="1">
        <v>2749.0</v>
      </c>
      <c r="D106" s="1">
        <v>1602.0</v>
      </c>
      <c r="E106" s="1">
        <v>1019.0</v>
      </c>
      <c r="F106" s="1">
        <v>59.177309</v>
      </c>
      <c r="G106" s="1">
        <v>36.39201</v>
      </c>
      <c r="I106" s="2">
        <v>41730.0</v>
      </c>
      <c r="J106" s="5">
        <f t="shared" si="13"/>
        <v>0.59177309</v>
      </c>
      <c r="K106" s="5">
        <f t="shared" si="14"/>
        <v>0.69900332</v>
      </c>
      <c r="M106" s="2">
        <v>41730.0</v>
      </c>
      <c r="N106" s="5">
        <f t="shared" si="15"/>
        <v>0.3639201</v>
      </c>
      <c r="O106" s="5">
        <f t="shared" si="16"/>
        <v>0.408</v>
      </c>
    </row>
    <row r="107">
      <c r="A107" s="2">
        <v>41760.0</v>
      </c>
      <c r="B107" s="1">
        <v>7091.0</v>
      </c>
      <c r="C107" s="1">
        <v>2934.0</v>
      </c>
      <c r="D107" s="1">
        <v>1724.0</v>
      </c>
      <c r="E107" s="1">
        <v>1135.0</v>
      </c>
      <c r="F107" s="1">
        <v>58.623607</v>
      </c>
      <c r="G107" s="1">
        <v>34.164733</v>
      </c>
      <c r="I107" s="2">
        <v>41760.0</v>
      </c>
      <c r="J107" s="5">
        <f t="shared" si="13"/>
        <v>0.58623607</v>
      </c>
      <c r="K107" s="5">
        <f t="shared" si="14"/>
        <v>0.69914853</v>
      </c>
      <c r="M107" s="2">
        <v>41760.0</v>
      </c>
      <c r="N107" s="5">
        <f t="shared" si="15"/>
        <v>0.34164733</v>
      </c>
      <c r="O107" s="5">
        <f t="shared" si="16"/>
        <v>0.44258373</v>
      </c>
    </row>
    <row r="108">
      <c r="A108" s="2">
        <v>41791.0</v>
      </c>
      <c r="B108" s="1">
        <v>7001.0</v>
      </c>
      <c r="C108" s="1">
        <v>2782.0</v>
      </c>
      <c r="D108" s="1">
        <v>1591.0</v>
      </c>
      <c r="E108" s="1">
        <v>1032.0</v>
      </c>
      <c r="F108" s="1">
        <v>60.26282</v>
      </c>
      <c r="G108" s="1">
        <v>35.135135</v>
      </c>
      <c r="I108" s="2">
        <v>41791.0</v>
      </c>
      <c r="J108" s="5">
        <f t="shared" si="13"/>
        <v>0.6026282</v>
      </c>
      <c r="K108" s="5">
        <f t="shared" si="14"/>
        <v>0.71063123</v>
      </c>
      <c r="M108" s="2">
        <v>41791.0</v>
      </c>
      <c r="N108" s="5">
        <f t="shared" si="15"/>
        <v>0.35135135</v>
      </c>
      <c r="O108" s="5">
        <f t="shared" si="16"/>
        <v>0.43902439</v>
      </c>
    </row>
    <row r="109">
      <c r="A109" s="2">
        <v>41821.0</v>
      </c>
      <c r="B109" s="1">
        <v>7612.0</v>
      </c>
      <c r="C109" s="1">
        <v>2967.0</v>
      </c>
      <c r="D109" s="1">
        <v>1706.0</v>
      </c>
      <c r="E109" s="1">
        <v>1070.0</v>
      </c>
      <c r="F109" s="1">
        <v>61.02207</v>
      </c>
      <c r="G109" s="1">
        <v>37.280188</v>
      </c>
      <c r="I109" s="2">
        <v>41821.0</v>
      </c>
      <c r="J109" s="5">
        <f t="shared" si="13"/>
        <v>0.6102207</v>
      </c>
      <c r="K109" s="5">
        <f t="shared" si="14"/>
        <v>0.71007752</v>
      </c>
      <c r="M109" s="2">
        <v>41821.0</v>
      </c>
      <c r="N109" s="5">
        <f t="shared" si="15"/>
        <v>0.37280188</v>
      </c>
      <c r="O109" s="5">
        <f t="shared" si="16"/>
        <v>0.4270557</v>
      </c>
    </row>
    <row r="110">
      <c r="A110" s="2">
        <v>41852.0</v>
      </c>
      <c r="B110" s="1">
        <v>7572.0</v>
      </c>
      <c r="C110" s="1">
        <v>3067.0</v>
      </c>
      <c r="D110" s="1">
        <v>1750.0</v>
      </c>
      <c r="E110" s="1">
        <v>1127.0</v>
      </c>
      <c r="F110" s="1">
        <v>59.49551</v>
      </c>
      <c r="G110" s="1">
        <v>35.6</v>
      </c>
      <c r="I110" s="2">
        <v>41852.0</v>
      </c>
      <c r="J110" s="5">
        <f t="shared" si="13"/>
        <v>0.5949551</v>
      </c>
      <c r="K110" s="5">
        <f t="shared" si="14"/>
        <v>0.71276596</v>
      </c>
      <c r="M110" s="2">
        <v>41852.0</v>
      </c>
      <c r="N110" s="5">
        <f t="shared" si="15"/>
        <v>0.356</v>
      </c>
      <c r="O110" s="5">
        <f t="shared" si="16"/>
        <v>0.48167539</v>
      </c>
    </row>
    <row r="111">
      <c r="A111" s="2">
        <v>41883.0</v>
      </c>
      <c r="B111" s="1">
        <v>7939.0</v>
      </c>
      <c r="C111" s="1">
        <v>3180.0</v>
      </c>
      <c r="D111" s="1">
        <v>1854.0</v>
      </c>
      <c r="E111" s="1">
        <v>1213.0</v>
      </c>
      <c r="F111" s="1">
        <v>59.944577</v>
      </c>
      <c r="G111" s="1">
        <v>34.573894</v>
      </c>
      <c r="I111" s="2">
        <v>41883.0</v>
      </c>
      <c r="J111" s="5">
        <f t="shared" si="13"/>
        <v>0.59944577</v>
      </c>
      <c r="K111" s="5">
        <f t="shared" si="14"/>
        <v>0.724365</v>
      </c>
      <c r="M111" s="2">
        <v>41883.0</v>
      </c>
      <c r="N111" s="5">
        <f t="shared" si="15"/>
        <v>0.34573894</v>
      </c>
      <c r="O111" s="5">
        <f t="shared" si="16"/>
        <v>0.41225627</v>
      </c>
    </row>
    <row r="112">
      <c r="A112" s="3">
        <v>41913.0</v>
      </c>
      <c r="B112" s="1">
        <v>8919.0</v>
      </c>
      <c r="C112" s="1">
        <v>3556.0</v>
      </c>
      <c r="D112" s="1">
        <v>2147.0</v>
      </c>
      <c r="E112" s="1">
        <v>1378.0</v>
      </c>
      <c r="F112" s="1">
        <v>60.130059</v>
      </c>
      <c r="G112" s="1">
        <v>35.81742</v>
      </c>
      <c r="I112" s="3">
        <v>41913.0</v>
      </c>
      <c r="J112" s="5">
        <f t="shared" si="13"/>
        <v>0.60130059</v>
      </c>
      <c r="K112" s="5">
        <f t="shared" si="14"/>
        <v>0.69836161</v>
      </c>
      <c r="M112" s="3">
        <v>41913.0</v>
      </c>
      <c r="N112" s="5">
        <f t="shared" si="15"/>
        <v>0.3581742</v>
      </c>
      <c r="O112" s="5">
        <f t="shared" si="16"/>
        <v>0.46153846</v>
      </c>
    </row>
    <row r="113">
      <c r="A113" s="3">
        <v>41944.0</v>
      </c>
      <c r="B113" s="1">
        <v>10791.0</v>
      </c>
      <c r="C113" s="1">
        <v>4381.0</v>
      </c>
      <c r="D113" s="1">
        <v>2585.0</v>
      </c>
      <c r="E113" s="1">
        <v>1737.0</v>
      </c>
      <c r="F113" s="1">
        <v>59.401353</v>
      </c>
      <c r="G113" s="1">
        <v>32.804642</v>
      </c>
      <c r="I113" s="3">
        <v>41944.0</v>
      </c>
      <c r="J113" s="5">
        <f t="shared" si="13"/>
        <v>0.59401353</v>
      </c>
      <c r="K113" s="5">
        <f t="shared" si="14"/>
        <v>0.71017639</v>
      </c>
      <c r="M113" s="3">
        <v>41944.0</v>
      </c>
      <c r="N113" s="5">
        <f t="shared" si="15"/>
        <v>0.32804642</v>
      </c>
      <c r="O113" s="5">
        <f t="shared" si="16"/>
        <v>0.44394619</v>
      </c>
    </row>
    <row r="114">
      <c r="A114" s="3">
        <v>41974.0</v>
      </c>
      <c r="B114" s="1">
        <v>12808.0</v>
      </c>
      <c r="C114" s="1">
        <v>5388.0</v>
      </c>
      <c r="D114" s="1">
        <v>3115.0</v>
      </c>
      <c r="E114" s="1">
        <v>2007.0</v>
      </c>
      <c r="F114" s="1">
        <v>57.932542</v>
      </c>
      <c r="G114" s="1">
        <v>35.569823</v>
      </c>
      <c r="I114" s="3">
        <v>41974.0</v>
      </c>
      <c r="J114" s="5">
        <f t="shared" si="13"/>
        <v>0.57932542</v>
      </c>
      <c r="K114" s="5">
        <f t="shared" si="14"/>
        <v>0.69720217</v>
      </c>
      <c r="M114" s="3">
        <v>41974.0</v>
      </c>
      <c r="N114" s="5">
        <f t="shared" si="15"/>
        <v>0.35569823</v>
      </c>
      <c r="O114" s="5">
        <f t="shared" si="16"/>
        <v>0.44684685</v>
      </c>
    </row>
    <row r="115">
      <c r="A115" s="2">
        <v>42005.0</v>
      </c>
      <c r="B115" s="1">
        <v>11400.0</v>
      </c>
      <c r="C115" s="1">
        <v>4737.0</v>
      </c>
      <c r="D115" s="1">
        <v>2775.0</v>
      </c>
      <c r="E115" s="1">
        <v>1834.0</v>
      </c>
      <c r="F115" s="1">
        <v>58.447368</v>
      </c>
      <c r="G115" s="1">
        <v>33.90991</v>
      </c>
      <c r="I115" s="2">
        <v>42005.0</v>
      </c>
      <c r="J115" s="5">
        <f t="shared" si="13"/>
        <v>0.58447368</v>
      </c>
      <c r="K115" s="5">
        <f t="shared" si="14"/>
        <v>0.69688237</v>
      </c>
      <c r="M115" s="2">
        <v>42005.0</v>
      </c>
      <c r="N115" s="5">
        <f t="shared" si="15"/>
        <v>0.3390991</v>
      </c>
      <c r="O115" s="5">
        <f t="shared" si="16"/>
        <v>0.44885177</v>
      </c>
    </row>
    <row r="116">
      <c r="A116" s="2">
        <v>42036.0</v>
      </c>
      <c r="B116" s="1">
        <v>10705.0</v>
      </c>
      <c r="C116" s="1">
        <v>4766.0</v>
      </c>
      <c r="D116" s="1">
        <v>2749.0</v>
      </c>
      <c r="E116" s="1">
        <v>1801.0</v>
      </c>
      <c r="F116" s="1">
        <v>55.478748</v>
      </c>
      <c r="G116" s="1">
        <v>34.485267</v>
      </c>
      <c r="I116" s="2">
        <v>42036.0</v>
      </c>
      <c r="J116" s="5">
        <f t="shared" si="13"/>
        <v>0.55478748</v>
      </c>
      <c r="K116" s="5">
        <f t="shared" si="14"/>
        <v>0.68756816</v>
      </c>
      <c r="M116" s="2">
        <v>42036.0</v>
      </c>
      <c r="N116" s="5">
        <f t="shared" si="15"/>
        <v>0.34485267</v>
      </c>
      <c r="O116" s="5">
        <f t="shared" si="16"/>
        <v>0.44834711</v>
      </c>
    </row>
    <row r="117">
      <c r="A117" s="2">
        <v>42064.0</v>
      </c>
      <c r="B117" s="1">
        <v>6744.0</v>
      </c>
      <c r="C117" s="1">
        <v>2891.0</v>
      </c>
      <c r="D117" s="1">
        <v>1663.0</v>
      </c>
      <c r="E117" s="1">
        <v>1105.0</v>
      </c>
      <c r="F117" s="1">
        <v>57.132266</v>
      </c>
      <c r="G117" s="1">
        <v>33.553818</v>
      </c>
      <c r="I117" s="2">
        <v>42064.0</v>
      </c>
      <c r="J117" s="5">
        <f t="shared" si="13"/>
        <v>0.57132266</v>
      </c>
      <c r="K117" s="5">
        <f t="shared" si="14"/>
        <v>0.69007902</v>
      </c>
      <c r="M117" s="2">
        <v>42064.0</v>
      </c>
      <c r="N117" s="5">
        <f t="shared" si="15"/>
        <v>0.33553818</v>
      </c>
      <c r="O117" s="5">
        <f t="shared" si="16"/>
        <v>0.47719298</v>
      </c>
    </row>
    <row r="120">
      <c r="A120" s="1" t="s">
        <v>45</v>
      </c>
      <c r="B120" s="1" t="s">
        <v>18</v>
      </c>
      <c r="C120" s="1" t="s">
        <v>39</v>
      </c>
      <c r="D120" s="1" t="s">
        <v>41</v>
      </c>
      <c r="E120" s="1" t="s">
        <v>46</v>
      </c>
      <c r="F120" s="1" t="s">
        <v>43</v>
      </c>
      <c r="G120" s="1" t="s">
        <v>44</v>
      </c>
    </row>
    <row r="121">
      <c r="A121" s="2">
        <v>40969.0</v>
      </c>
      <c r="B121" s="1">
        <v>220.0</v>
      </c>
      <c r="C121" s="1">
        <v>56.0</v>
      </c>
      <c r="D121" s="1">
        <v>19.0</v>
      </c>
      <c r="E121" s="1">
        <v>10.0</v>
      </c>
      <c r="F121" s="1">
        <v>74.545455</v>
      </c>
      <c r="G121" s="1">
        <v>47.368421</v>
      </c>
    </row>
    <row r="122">
      <c r="A122" s="2">
        <v>41000.0</v>
      </c>
      <c r="B122" s="1">
        <v>415.0</v>
      </c>
      <c r="C122" s="1">
        <v>100.0</v>
      </c>
      <c r="D122" s="1">
        <v>36.0</v>
      </c>
      <c r="E122" s="1">
        <v>15.0</v>
      </c>
      <c r="F122" s="1">
        <v>75.903614</v>
      </c>
      <c r="G122" s="1">
        <v>58.333333</v>
      </c>
    </row>
    <row r="123">
      <c r="A123" s="2">
        <v>41030.0</v>
      </c>
      <c r="B123" s="1">
        <v>379.0</v>
      </c>
      <c r="C123" s="1">
        <v>89.0</v>
      </c>
      <c r="D123" s="1">
        <v>42.0</v>
      </c>
      <c r="E123" s="1">
        <v>12.0</v>
      </c>
      <c r="F123" s="1">
        <v>76.51715</v>
      </c>
      <c r="G123" s="1">
        <v>71.428571</v>
      </c>
    </row>
    <row r="124">
      <c r="A124" s="2">
        <v>41061.0</v>
      </c>
      <c r="B124" s="1">
        <v>309.0</v>
      </c>
      <c r="C124" s="1">
        <v>70.0</v>
      </c>
      <c r="D124" s="1">
        <v>31.0</v>
      </c>
      <c r="E124" s="1">
        <v>9.0</v>
      </c>
      <c r="F124" s="1">
        <v>77.346278</v>
      </c>
      <c r="G124" s="1">
        <v>70.967742</v>
      </c>
    </row>
    <row r="125">
      <c r="A125" s="2">
        <v>41091.0</v>
      </c>
      <c r="B125" s="1">
        <v>403.0</v>
      </c>
      <c r="C125" s="1">
        <v>102.0</v>
      </c>
      <c r="D125" s="1">
        <v>48.0</v>
      </c>
      <c r="E125" s="1">
        <v>19.0</v>
      </c>
      <c r="F125" s="1">
        <v>74.689826</v>
      </c>
      <c r="G125" s="1">
        <v>60.416667</v>
      </c>
    </row>
    <row r="126">
      <c r="A126" s="2">
        <v>41122.0</v>
      </c>
      <c r="B126" s="1">
        <v>553.0</v>
      </c>
      <c r="C126" s="1">
        <v>123.0</v>
      </c>
      <c r="D126" s="1">
        <v>46.0</v>
      </c>
      <c r="E126" s="1">
        <v>13.0</v>
      </c>
      <c r="F126" s="1">
        <v>77.757685</v>
      </c>
      <c r="G126" s="1">
        <v>71.73913</v>
      </c>
    </row>
    <row r="127">
      <c r="A127" s="2">
        <v>41153.0</v>
      </c>
      <c r="B127" s="1">
        <v>570.0</v>
      </c>
      <c r="C127" s="1">
        <v>143.0</v>
      </c>
      <c r="D127" s="1">
        <v>58.0</v>
      </c>
      <c r="E127" s="1">
        <v>26.0</v>
      </c>
      <c r="F127" s="1">
        <v>74.912281</v>
      </c>
      <c r="G127" s="1">
        <v>55.172414</v>
      </c>
    </row>
    <row r="128">
      <c r="A128" s="3">
        <v>41183.0</v>
      </c>
      <c r="B128" s="1">
        <v>736.0</v>
      </c>
      <c r="C128" s="1">
        <v>188.0</v>
      </c>
      <c r="D128" s="1">
        <v>96.0</v>
      </c>
      <c r="E128" s="1">
        <v>34.0</v>
      </c>
      <c r="F128" s="1">
        <v>74.456522</v>
      </c>
      <c r="G128" s="1">
        <v>64.583333</v>
      </c>
    </row>
    <row r="129">
      <c r="A129" s="3">
        <v>41214.0</v>
      </c>
      <c r="B129" s="1">
        <v>1130.0</v>
      </c>
      <c r="C129" s="1">
        <v>265.0</v>
      </c>
      <c r="D129" s="1">
        <v>119.0</v>
      </c>
      <c r="E129" s="1">
        <v>55.0</v>
      </c>
      <c r="F129" s="1">
        <v>76.548673</v>
      </c>
      <c r="G129" s="1">
        <v>53.781513</v>
      </c>
    </row>
    <row r="130">
      <c r="A130" s="3">
        <v>41244.0</v>
      </c>
      <c r="B130" s="1">
        <v>908.0</v>
      </c>
      <c r="C130" s="1">
        <v>217.0</v>
      </c>
      <c r="D130" s="1">
        <v>101.0</v>
      </c>
      <c r="E130" s="1">
        <v>40.0</v>
      </c>
      <c r="F130" s="1">
        <v>76.101322</v>
      </c>
      <c r="G130" s="1">
        <v>60.39604</v>
      </c>
    </row>
    <row r="131">
      <c r="A131" s="2">
        <v>41275.0</v>
      </c>
      <c r="B131" s="1">
        <v>686.0</v>
      </c>
      <c r="C131" s="1">
        <v>199.0</v>
      </c>
      <c r="D131" s="1">
        <v>85.0</v>
      </c>
      <c r="E131" s="1">
        <v>46.0</v>
      </c>
      <c r="F131" s="1">
        <v>70.991254</v>
      </c>
      <c r="G131" s="1">
        <v>45.882353</v>
      </c>
    </row>
    <row r="132">
      <c r="A132" s="2">
        <v>41306.0</v>
      </c>
      <c r="B132" s="1">
        <v>736.0</v>
      </c>
      <c r="C132" s="1">
        <v>208.0</v>
      </c>
      <c r="D132" s="1">
        <v>103.0</v>
      </c>
      <c r="E132" s="1">
        <v>58.0</v>
      </c>
      <c r="F132" s="1">
        <v>71.73913</v>
      </c>
      <c r="G132" s="1">
        <v>43.68932</v>
      </c>
    </row>
    <row r="133">
      <c r="A133" s="2">
        <v>41334.0</v>
      </c>
      <c r="B133" s="1">
        <v>656.0</v>
      </c>
      <c r="C133" s="1">
        <v>161.0</v>
      </c>
      <c r="D133" s="1">
        <v>64.0</v>
      </c>
      <c r="E133" s="1">
        <v>37.0</v>
      </c>
      <c r="F133" s="1">
        <v>75.457317</v>
      </c>
      <c r="G133" s="1">
        <v>42.1875</v>
      </c>
    </row>
    <row r="134">
      <c r="A134" s="2">
        <v>41365.0</v>
      </c>
      <c r="B134" s="1">
        <v>825.0</v>
      </c>
      <c r="C134" s="1">
        <v>218.0</v>
      </c>
      <c r="D134" s="1">
        <v>96.0</v>
      </c>
      <c r="E134" s="1">
        <v>51.0</v>
      </c>
      <c r="F134" s="1">
        <v>73.575758</v>
      </c>
      <c r="G134" s="1">
        <v>46.875</v>
      </c>
    </row>
    <row r="135">
      <c r="A135" s="2">
        <v>41395.0</v>
      </c>
      <c r="B135" s="1">
        <v>843.0</v>
      </c>
      <c r="C135" s="1">
        <v>228.0</v>
      </c>
      <c r="D135" s="1">
        <v>105.0</v>
      </c>
      <c r="E135" s="1">
        <v>63.0</v>
      </c>
      <c r="F135" s="1">
        <v>72.953737</v>
      </c>
      <c r="G135" s="1">
        <v>40.0</v>
      </c>
    </row>
    <row r="136">
      <c r="A136" s="2">
        <v>41426.0</v>
      </c>
      <c r="B136" s="1">
        <v>902.0</v>
      </c>
      <c r="C136" s="1">
        <v>232.0</v>
      </c>
      <c r="D136" s="1">
        <v>93.0</v>
      </c>
      <c r="E136" s="1">
        <v>48.0</v>
      </c>
      <c r="F136" s="1">
        <v>74.279379</v>
      </c>
      <c r="G136" s="1">
        <v>48.387097</v>
      </c>
    </row>
    <row r="137">
      <c r="A137" s="2">
        <v>41456.0</v>
      </c>
      <c r="B137" s="1">
        <v>1079.0</v>
      </c>
      <c r="C137" s="1">
        <v>332.0</v>
      </c>
      <c r="D137" s="1">
        <v>144.0</v>
      </c>
      <c r="E137" s="1">
        <v>84.0</v>
      </c>
      <c r="F137" s="1">
        <v>69.230769</v>
      </c>
      <c r="G137" s="1">
        <v>41.666667</v>
      </c>
    </row>
    <row r="138">
      <c r="A138" s="2">
        <v>41487.0</v>
      </c>
      <c r="B138" s="1">
        <v>1388.0</v>
      </c>
      <c r="C138" s="1">
        <v>390.0</v>
      </c>
      <c r="D138" s="1">
        <v>153.0</v>
      </c>
      <c r="E138" s="1">
        <v>82.0</v>
      </c>
      <c r="F138" s="1">
        <v>71.902017</v>
      </c>
      <c r="G138" s="1">
        <v>46.405229</v>
      </c>
    </row>
    <row r="139">
      <c r="A139" s="2">
        <v>41518.0</v>
      </c>
      <c r="B139" s="1">
        <v>1628.0</v>
      </c>
      <c r="C139" s="1">
        <v>419.0</v>
      </c>
      <c r="D139" s="1">
        <v>171.0</v>
      </c>
      <c r="E139" s="1">
        <v>103.0</v>
      </c>
      <c r="F139" s="1">
        <v>74.262899</v>
      </c>
      <c r="G139" s="1">
        <v>39.766082</v>
      </c>
    </row>
    <row r="140">
      <c r="A140" s="3">
        <v>41548.0</v>
      </c>
      <c r="B140" s="1">
        <v>1799.0</v>
      </c>
      <c r="C140" s="1">
        <v>487.0</v>
      </c>
      <c r="D140" s="1">
        <v>194.0</v>
      </c>
      <c r="E140" s="1">
        <v>101.0</v>
      </c>
      <c r="F140" s="1">
        <v>72.929405</v>
      </c>
      <c r="G140" s="1">
        <v>47.938144</v>
      </c>
    </row>
    <row r="141">
      <c r="A141" s="3">
        <v>41579.0</v>
      </c>
      <c r="B141" s="1">
        <v>2425.0</v>
      </c>
      <c r="C141" s="1">
        <v>659.0</v>
      </c>
      <c r="D141" s="1">
        <v>288.0</v>
      </c>
      <c r="E141" s="1">
        <v>150.0</v>
      </c>
      <c r="F141" s="1">
        <v>72.824742</v>
      </c>
      <c r="G141" s="1">
        <v>47.916667</v>
      </c>
    </row>
    <row r="142">
      <c r="A142" s="3">
        <v>41609.0</v>
      </c>
      <c r="B142" s="1">
        <v>2729.0</v>
      </c>
      <c r="C142" s="1">
        <v>820.0</v>
      </c>
      <c r="D142" s="1">
        <v>364.0</v>
      </c>
      <c r="E142" s="1">
        <v>193.0</v>
      </c>
      <c r="F142" s="1">
        <v>69.952364</v>
      </c>
      <c r="G142" s="1">
        <v>46.978022</v>
      </c>
    </row>
    <row r="143">
      <c r="A143" s="2">
        <v>41640.0</v>
      </c>
      <c r="B143" s="1">
        <v>2366.0</v>
      </c>
      <c r="C143" s="1">
        <v>691.0</v>
      </c>
      <c r="D143" s="1">
        <v>279.0</v>
      </c>
      <c r="E143" s="1">
        <v>157.0</v>
      </c>
      <c r="F143" s="1">
        <v>70.79459</v>
      </c>
      <c r="G143" s="1">
        <v>43.727599</v>
      </c>
    </row>
    <row r="144">
      <c r="A144" s="2">
        <v>41671.0</v>
      </c>
      <c r="B144" s="1">
        <v>2539.0</v>
      </c>
      <c r="C144" s="1">
        <v>743.0</v>
      </c>
      <c r="D144" s="1">
        <v>327.0</v>
      </c>
      <c r="E144" s="1">
        <v>181.0</v>
      </c>
      <c r="F144" s="1">
        <v>70.73651</v>
      </c>
      <c r="G144" s="1">
        <v>44.648318</v>
      </c>
    </row>
    <row r="145">
      <c r="A145" s="2">
        <v>41699.0</v>
      </c>
      <c r="B145" s="1">
        <v>2584.0</v>
      </c>
      <c r="C145" s="1">
        <v>745.0</v>
      </c>
      <c r="D145" s="1">
        <v>316.0</v>
      </c>
      <c r="E145" s="1">
        <v>168.0</v>
      </c>
      <c r="F145" s="1">
        <v>71.168731</v>
      </c>
      <c r="G145" s="1">
        <v>46.835443</v>
      </c>
    </row>
    <row r="146">
      <c r="A146" s="2">
        <v>41730.0</v>
      </c>
      <c r="B146" s="1">
        <v>3010.0</v>
      </c>
      <c r="C146" s="1">
        <v>906.0</v>
      </c>
      <c r="D146" s="1">
        <v>375.0</v>
      </c>
      <c r="E146" s="1">
        <v>222.0</v>
      </c>
      <c r="F146" s="1">
        <v>69.900332</v>
      </c>
      <c r="G146" s="1">
        <v>40.8</v>
      </c>
    </row>
    <row r="147">
      <c r="A147" s="2">
        <v>41760.0</v>
      </c>
      <c r="B147" s="1">
        <v>3171.0</v>
      </c>
      <c r="C147" s="1">
        <v>954.0</v>
      </c>
      <c r="D147" s="1">
        <v>418.0</v>
      </c>
      <c r="E147" s="1">
        <v>233.0</v>
      </c>
      <c r="F147" s="1">
        <v>69.914853</v>
      </c>
      <c r="G147" s="1">
        <v>44.258373</v>
      </c>
    </row>
    <row r="148">
      <c r="A148" s="2">
        <v>41791.0</v>
      </c>
      <c r="B148" s="1">
        <v>3010.0</v>
      </c>
      <c r="C148" s="1">
        <v>871.0</v>
      </c>
      <c r="D148" s="1">
        <v>369.0</v>
      </c>
      <c r="E148" s="1">
        <v>207.0</v>
      </c>
      <c r="F148" s="1">
        <v>71.063123</v>
      </c>
      <c r="G148" s="1">
        <v>43.902439</v>
      </c>
    </row>
    <row r="149">
      <c r="A149" s="2">
        <v>41821.0</v>
      </c>
      <c r="B149" s="1">
        <v>3225.0</v>
      </c>
      <c r="C149" s="1">
        <v>935.0</v>
      </c>
      <c r="D149" s="1">
        <v>377.0</v>
      </c>
      <c r="E149" s="1">
        <v>216.0</v>
      </c>
      <c r="F149" s="1">
        <v>71.007752</v>
      </c>
      <c r="G149" s="1">
        <v>42.70557</v>
      </c>
    </row>
    <row r="150">
      <c r="A150" s="2">
        <v>41852.0</v>
      </c>
      <c r="B150" s="1">
        <v>3196.0</v>
      </c>
      <c r="C150" s="1">
        <v>918.0</v>
      </c>
      <c r="D150" s="1">
        <v>382.0</v>
      </c>
      <c r="E150" s="1">
        <v>198.0</v>
      </c>
      <c r="F150" s="1">
        <v>71.276596</v>
      </c>
      <c r="G150" s="1">
        <v>48.167539</v>
      </c>
    </row>
    <row r="151">
      <c r="A151" s="2">
        <v>41883.0</v>
      </c>
      <c r="B151" s="1">
        <v>3189.0</v>
      </c>
      <c r="C151" s="1">
        <v>879.0</v>
      </c>
      <c r="D151" s="1">
        <v>359.0</v>
      </c>
      <c r="E151" s="1">
        <v>211.0</v>
      </c>
      <c r="F151" s="1">
        <v>72.4365</v>
      </c>
      <c r="G151" s="1">
        <v>41.225627</v>
      </c>
    </row>
    <row r="152">
      <c r="A152" s="3">
        <v>41913.0</v>
      </c>
      <c r="B152" s="1">
        <v>3418.0</v>
      </c>
      <c r="C152" s="1">
        <v>1031.0</v>
      </c>
      <c r="D152" s="1">
        <v>429.0</v>
      </c>
      <c r="E152" s="1">
        <v>231.0</v>
      </c>
      <c r="F152" s="1">
        <v>69.836161</v>
      </c>
      <c r="G152" s="1">
        <v>46.153846</v>
      </c>
    </row>
    <row r="153">
      <c r="A153" s="3">
        <v>41944.0</v>
      </c>
      <c r="B153" s="1">
        <v>3685.0</v>
      </c>
      <c r="C153" s="1">
        <v>1068.0</v>
      </c>
      <c r="D153" s="1">
        <v>446.0</v>
      </c>
      <c r="E153" s="1">
        <v>248.0</v>
      </c>
      <c r="F153" s="1">
        <v>71.017639</v>
      </c>
      <c r="G153" s="1">
        <v>44.394619</v>
      </c>
    </row>
    <row r="154">
      <c r="A154" s="3">
        <v>41974.0</v>
      </c>
      <c r="B154" s="1">
        <v>4432.0</v>
      </c>
      <c r="C154" s="1">
        <v>1342.0</v>
      </c>
      <c r="D154" s="1">
        <v>555.0</v>
      </c>
      <c r="E154" s="1">
        <v>307.0</v>
      </c>
      <c r="F154" s="1">
        <v>69.720217</v>
      </c>
      <c r="G154" s="1">
        <v>44.684685</v>
      </c>
    </row>
    <row r="155">
      <c r="A155" s="2">
        <v>42005.0</v>
      </c>
      <c r="B155" s="1">
        <v>3817.0</v>
      </c>
      <c r="C155" s="1">
        <v>1157.0</v>
      </c>
      <c r="D155" s="1">
        <v>479.0</v>
      </c>
      <c r="E155" s="1">
        <v>264.0</v>
      </c>
      <c r="F155" s="1">
        <v>69.688237</v>
      </c>
      <c r="G155" s="1">
        <v>44.885177</v>
      </c>
    </row>
    <row r="156">
      <c r="A156" s="2">
        <v>42036.0</v>
      </c>
      <c r="B156" s="1">
        <v>3668.0</v>
      </c>
      <c r="C156" s="1">
        <v>1146.0</v>
      </c>
      <c r="D156" s="1">
        <v>484.0</v>
      </c>
      <c r="E156" s="1">
        <v>267.0</v>
      </c>
      <c r="F156" s="1">
        <v>68.756816</v>
      </c>
      <c r="G156" s="1">
        <v>44.834711</v>
      </c>
    </row>
    <row r="157">
      <c r="A157" s="2">
        <v>42064.0</v>
      </c>
      <c r="B157" s="1">
        <v>2278.0</v>
      </c>
      <c r="C157" s="1">
        <v>706.0</v>
      </c>
      <c r="D157" s="1">
        <v>285.0</v>
      </c>
      <c r="E157" s="1">
        <v>149.0</v>
      </c>
      <c r="F157" s="1">
        <v>69.007902</v>
      </c>
      <c r="G157" s="1">
        <v>47.719298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47</v>
      </c>
      <c r="C1" s="1" t="s">
        <v>48</v>
      </c>
      <c r="D1" s="1" t="s">
        <v>49</v>
      </c>
      <c r="E1" s="1" t="s">
        <v>50</v>
      </c>
    </row>
    <row r="2">
      <c r="B2" s="1" t="s">
        <v>51</v>
      </c>
      <c r="C2" s="9">
        <v>24601.0</v>
      </c>
      <c r="D2" s="9">
        <v>1250207.99</v>
      </c>
      <c r="E2" s="12">
        <v>50.819397</v>
      </c>
      <c r="H2" s="9"/>
    </row>
    <row r="3">
      <c r="B3" s="1" t="s">
        <v>52</v>
      </c>
      <c r="C3" s="9">
        <v>7712.0</v>
      </c>
      <c r="D3" s="9">
        <v>688301.76</v>
      </c>
      <c r="E3" s="12">
        <v>89.250747</v>
      </c>
    </row>
    <row r="34">
      <c r="B34" s="1" t="s">
        <v>53</v>
      </c>
      <c r="C34" s="1" t="s">
        <v>54</v>
      </c>
      <c r="D34" s="1" t="s">
        <v>55</v>
      </c>
      <c r="E34" s="1" t="s">
        <v>56</v>
      </c>
      <c r="F34" s="1" t="s">
        <v>57</v>
      </c>
      <c r="G34" s="1" t="s">
        <v>58</v>
      </c>
      <c r="H34" s="1" t="s">
        <v>59</v>
      </c>
      <c r="I34" s="1" t="s">
        <v>60</v>
      </c>
    </row>
    <row r="35">
      <c r="A35" s="1">
        <v>0.0</v>
      </c>
      <c r="B35" s="1" t="s">
        <v>4</v>
      </c>
      <c r="C35" s="1" t="s">
        <v>5</v>
      </c>
      <c r="D35" s="1">
        <v>662.0</v>
      </c>
      <c r="E35" s="1">
        <v>0.020487</v>
      </c>
      <c r="F35" s="1">
        <v>4985.0</v>
      </c>
      <c r="G35" s="1">
        <v>5018.0</v>
      </c>
      <c r="H35" s="1">
        <v>0.132798</v>
      </c>
      <c r="I35" s="1">
        <v>0.855144</v>
      </c>
    </row>
    <row r="36">
      <c r="A36" s="1">
        <v>5.0</v>
      </c>
      <c r="B36" s="1" t="s">
        <v>2</v>
      </c>
      <c r="C36" s="1" t="s">
        <v>5</v>
      </c>
      <c r="D36" s="1">
        <v>3142.0</v>
      </c>
      <c r="E36" s="1">
        <v>0.097236</v>
      </c>
      <c r="F36" s="1">
        <v>24226.0</v>
      </c>
      <c r="G36" s="1">
        <v>5018.0</v>
      </c>
      <c r="H36" s="1">
        <v>0.129695</v>
      </c>
      <c r="I36" s="1">
        <v>0.835163</v>
      </c>
    </row>
    <row r="37">
      <c r="A37" s="1">
        <v>2.0</v>
      </c>
      <c r="B37" s="1" t="s">
        <v>3</v>
      </c>
      <c r="C37" s="1" t="s">
        <v>5</v>
      </c>
      <c r="D37" s="1">
        <v>680.0</v>
      </c>
      <c r="E37" s="1">
        <v>0.021044</v>
      </c>
      <c r="F37" s="1">
        <v>5796.0</v>
      </c>
      <c r="G37" s="1">
        <v>5018.0</v>
      </c>
      <c r="H37" s="1">
        <v>0.117322</v>
      </c>
      <c r="I37" s="1">
        <v>0.755487</v>
      </c>
    </row>
    <row r="38">
      <c r="A38" s="1">
        <v>3.0</v>
      </c>
      <c r="B38" s="1" t="s">
        <v>2</v>
      </c>
      <c r="C38" s="1" t="s">
        <v>4</v>
      </c>
      <c r="D38" s="1">
        <v>2036.0</v>
      </c>
      <c r="E38" s="1">
        <v>0.063009</v>
      </c>
      <c r="F38" s="1">
        <v>24226.0</v>
      </c>
      <c r="G38" s="1">
        <v>4985.0</v>
      </c>
      <c r="H38" s="1">
        <v>0.084042</v>
      </c>
      <c r="I38" s="1">
        <v>0.544764</v>
      </c>
    </row>
    <row r="39">
      <c r="A39" s="1">
        <v>1.0</v>
      </c>
      <c r="B39" s="1" t="s">
        <v>3</v>
      </c>
      <c r="C39" s="1" t="s">
        <v>4</v>
      </c>
      <c r="D39" s="1">
        <v>248.0</v>
      </c>
      <c r="E39" s="1">
        <v>0.007675</v>
      </c>
      <c r="F39" s="1">
        <v>5796.0</v>
      </c>
      <c r="G39" s="1">
        <v>4985.0</v>
      </c>
      <c r="H39" s="1">
        <v>0.042788</v>
      </c>
      <c r="I39" s="1">
        <v>0.277355</v>
      </c>
    </row>
    <row r="40">
      <c r="A40" s="1">
        <v>4.0</v>
      </c>
      <c r="B40" s="1" t="s">
        <v>2</v>
      </c>
      <c r="C40" s="1" t="s">
        <v>3</v>
      </c>
      <c r="D40" s="1">
        <v>944.0</v>
      </c>
      <c r="E40" s="1">
        <v>0.029214</v>
      </c>
      <c r="F40" s="1">
        <v>24226.0</v>
      </c>
      <c r="G40" s="1">
        <v>5796.0</v>
      </c>
      <c r="H40" s="1">
        <v>0.038966</v>
      </c>
      <c r="I40" s="1">
        <v>0.21724</v>
      </c>
    </row>
  </sheetData>
  <drawing r:id="rId1"/>
</worksheet>
</file>